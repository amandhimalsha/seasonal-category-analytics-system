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d" sheetId="1" r:id="rId5"/>
    <sheet state="visible" name="25 New 1st " sheetId="2" r:id="rId6"/>
    <sheet state="visible" name="25 New 2nd " sheetId="3" r:id="rId7"/>
    <sheet state="visible" name="Sheet8" sheetId="4" r:id="rId8"/>
    <sheet state="visible" name="Sheet3" sheetId="5" r:id="rId9"/>
    <sheet state="visible" name="Sheet7" sheetId="6" r:id="rId10"/>
  </sheets>
  <definedNames/>
  <calcPr/>
</workbook>
</file>

<file path=xl/sharedStrings.xml><?xml version="1.0" encoding="utf-8"?>
<sst xmlns="http://schemas.openxmlformats.org/spreadsheetml/2006/main" count="2059" uniqueCount="423">
  <si>
    <t xml:space="preserve">Admission </t>
  </si>
  <si>
    <t xml:space="preserve">Invoice </t>
  </si>
  <si>
    <t>Type of Payment</t>
  </si>
  <si>
    <t>1st payment</t>
  </si>
  <si>
    <t>2nd  payment</t>
  </si>
  <si>
    <t>3rd payment</t>
  </si>
  <si>
    <t>Total</t>
  </si>
  <si>
    <t>Paid</t>
  </si>
  <si>
    <t>Yasara Harindi</t>
  </si>
  <si>
    <t>Issued</t>
  </si>
  <si>
    <t>Bank Transfer</t>
  </si>
  <si>
    <t>Jayaranagi Wasana</t>
  </si>
  <si>
    <t>Cash</t>
  </si>
  <si>
    <t>Vinod Prasad</t>
  </si>
  <si>
    <t>Miyuru Prasad</t>
  </si>
  <si>
    <t xml:space="preserve">Kavindya Dermila </t>
  </si>
  <si>
    <t>Shiran Sandeepa</t>
  </si>
  <si>
    <t>Kisandi Disara</t>
  </si>
  <si>
    <t>N/A</t>
  </si>
  <si>
    <t xml:space="preserve">Sishani Bandara </t>
  </si>
  <si>
    <t xml:space="preserve">Dewmini Sanjana </t>
  </si>
  <si>
    <t>Indumali Gunasinghe</t>
  </si>
  <si>
    <t>Sakshi Dehara</t>
  </si>
  <si>
    <t>Iman Thamindu</t>
  </si>
  <si>
    <t>Ruwanga Iason</t>
  </si>
  <si>
    <t>Methuki Perera</t>
  </si>
  <si>
    <t>Pawani Gamage</t>
  </si>
  <si>
    <t xml:space="preserve">Rashadhi Swetha </t>
  </si>
  <si>
    <t xml:space="preserve">Yeshika Chilani </t>
  </si>
  <si>
    <t xml:space="preserve">Akila Perera </t>
  </si>
  <si>
    <t xml:space="preserve">Lilanka Lakmal </t>
  </si>
  <si>
    <t xml:space="preserve">Oshadi Dewmi </t>
  </si>
  <si>
    <t xml:space="preserve">Mineshi Pravindya </t>
  </si>
  <si>
    <t xml:space="preserve">Oshada Subhasinghe </t>
  </si>
  <si>
    <t xml:space="preserve">Sashen Bandara </t>
  </si>
  <si>
    <t xml:space="preserve">S.W. Ushandhani </t>
  </si>
  <si>
    <t xml:space="preserve">Adeesha Dilshan </t>
  </si>
  <si>
    <t xml:space="preserve">Julian Sandali </t>
  </si>
  <si>
    <t>Mawithi Punsarani</t>
  </si>
  <si>
    <t xml:space="preserve">Heshan Chanuka </t>
  </si>
  <si>
    <t xml:space="preserve">Diluka Madhushan </t>
  </si>
  <si>
    <t xml:space="preserve">Ayeshan Rasanga </t>
  </si>
  <si>
    <t xml:space="preserve">Lasen Gunarathne </t>
  </si>
  <si>
    <t xml:space="preserve">Dilmi Shashipraba </t>
  </si>
  <si>
    <t xml:space="preserve">Shashika Migara </t>
  </si>
  <si>
    <t>Kawya Weerasinghe</t>
  </si>
  <si>
    <t>Madhusha Mallawarchchi</t>
  </si>
  <si>
    <t>Ashan Madumalka</t>
  </si>
  <si>
    <t>Dasun Induwara</t>
  </si>
  <si>
    <t>Besilica Jayamanna</t>
  </si>
  <si>
    <t>Aneesha Dewmini</t>
  </si>
  <si>
    <t>Nawod Bhanuka</t>
  </si>
  <si>
    <t>Shashiprabha Perera</t>
  </si>
  <si>
    <t>Muddika Dilshan</t>
  </si>
  <si>
    <t>Sandeepa Senevirathne</t>
  </si>
  <si>
    <t>Kavindu Sandaruwan</t>
  </si>
  <si>
    <t>Himaya Kavindi</t>
  </si>
  <si>
    <t>Parami Sandupama</t>
  </si>
  <si>
    <t xml:space="preserve">Handed over to Nisala.But, the receipt is not there. </t>
  </si>
  <si>
    <t xml:space="preserve">Dinu Sanjula </t>
  </si>
  <si>
    <t>Shakshi Dehara</t>
  </si>
  <si>
    <t xml:space="preserve">Sanjaya Avishka </t>
  </si>
  <si>
    <t>Thashmi Randunu</t>
  </si>
  <si>
    <t>Nethmi Anjali</t>
  </si>
  <si>
    <t>Lakshitha Nirmal</t>
  </si>
  <si>
    <t>Sanduni Diwyani</t>
  </si>
  <si>
    <t>Methum Dulwan</t>
  </si>
  <si>
    <t>Hashini Jayoda</t>
  </si>
  <si>
    <t>Tharundika Aravindi</t>
  </si>
  <si>
    <t>Maneesha Dewmini</t>
  </si>
  <si>
    <t>Nanduni Navindi</t>
  </si>
  <si>
    <t>Shashi De Silva</t>
  </si>
  <si>
    <t>Shashi Wickramasinghe</t>
  </si>
  <si>
    <t>Supuni Ransarani</t>
  </si>
  <si>
    <t>Nethmini Thaveesha</t>
  </si>
  <si>
    <t>Niduk Abishek</t>
  </si>
  <si>
    <t>Vinidi Rathnayake</t>
  </si>
  <si>
    <t>Tharindi Hettiarachchi</t>
  </si>
  <si>
    <t>Samindu Manuka</t>
  </si>
  <si>
    <t>Kavindya Nilakshi</t>
  </si>
  <si>
    <t>Nishanth Madhushanka</t>
  </si>
  <si>
    <t xml:space="preserve">Oshini De Silva </t>
  </si>
  <si>
    <t>Samudhitha Warunamal</t>
  </si>
  <si>
    <t>Dilhara Abekon</t>
  </si>
  <si>
    <t xml:space="preserve">Sandali Tharuka </t>
  </si>
  <si>
    <t>Venuri Prathiba</t>
  </si>
  <si>
    <t>Diniti De Zoysa</t>
  </si>
  <si>
    <t>Shakila Irosh</t>
  </si>
  <si>
    <t>Kumuthu Kishan</t>
  </si>
  <si>
    <t>Sachintha Dissanayake</t>
  </si>
  <si>
    <t>Thanula Deegayu</t>
  </si>
  <si>
    <t>Nimasha Chathurangi</t>
  </si>
  <si>
    <t>Shenal Perera</t>
  </si>
  <si>
    <t>Rashmika Siriwardane</t>
  </si>
  <si>
    <t>Sandun Kumara</t>
  </si>
  <si>
    <t>Dulaj Chamikara</t>
  </si>
  <si>
    <t xml:space="preserve">Sanduni Tharuka </t>
  </si>
  <si>
    <t>Govindi Vithanage</t>
  </si>
  <si>
    <t>Thiruni Amarathunga</t>
  </si>
  <si>
    <t>Anantha Wickrama</t>
  </si>
  <si>
    <t>Nishan Shanaka</t>
  </si>
  <si>
    <t>Akesh Munasinghe</t>
  </si>
  <si>
    <t xml:space="preserve">Malindu Malshaka </t>
  </si>
  <si>
    <t>Hasindu Sandeepa</t>
  </si>
  <si>
    <t>Nisansala Dilrukshi</t>
  </si>
  <si>
    <t xml:space="preserve">Manusha Gunarathne </t>
  </si>
  <si>
    <t>Sachini Viloka</t>
  </si>
  <si>
    <t>Dilki Rathnayake</t>
  </si>
  <si>
    <t>Kushmi Amaya</t>
  </si>
  <si>
    <t>Pasandi Janithma</t>
  </si>
  <si>
    <t>Vimansa Adikari</t>
  </si>
  <si>
    <t>Shyam Imran</t>
  </si>
  <si>
    <t>Kavya Ridmi Weerasingha</t>
  </si>
  <si>
    <t xml:space="preserve">Sashen Kaushalya </t>
  </si>
  <si>
    <t>Themiya Abesena</t>
  </si>
  <si>
    <t>Pasindu Navodya</t>
  </si>
  <si>
    <t>Shehani Perera</t>
  </si>
  <si>
    <t>Nethmi Nimnadi Silva</t>
  </si>
  <si>
    <t>Shehani Sandeepa</t>
  </si>
  <si>
    <t>Venuja Kalmith</t>
  </si>
  <si>
    <t>Oshani Perera</t>
  </si>
  <si>
    <t>Hasitha Perera</t>
  </si>
  <si>
    <t>Ivanya Seedara</t>
  </si>
  <si>
    <t xml:space="preserve">Sajith Sampath </t>
  </si>
  <si>
    <t>Aruja Herathliyana</t>
  </si>
  <si>
    <t>Praveena De Silva</t>
  </si>
  <si>
    <t>Erandi Rathnayake</t>
  </si>
  <si>
    <t>Dinesha Siriwardana</t>
  </si>
  <si>
    <t xml:space="preserve">Tashiya Pathiraja </t>
  </si>
  <si>
    <t>Paara Kethaki</t>
  </si>
  <si>
    <t>Upeksha Dulari</t>
  </si>
  <si>
    <t>Pavi Darmakeerthi</t>
  </si>
  <si>
    <t xml:space="preserve">Deliya Maleesha </t>
  </si>
  <si>
    <t>Shani Liyanage</t>
  </si>
  <si>
    <t xml:space="preserve">Tharushi Thilakarathne </t>
  </si>
  <si>
    <t>Erusha Gimshan</t>
  </si>
  <si>
    <t xml:space="preserve">Agramega Tachindra </t>
  </si>
  <si>
    <t>Thishen Imasha</t>
  </si>
  <si>
    <t>Brayan Alexander</t>
  </si>
  <si>
    <t>Nisansala Sewwandi</t>
  </si>
  <si>
    <t>Kavini Sasanadara</t>
  </si>
  <si>
    <t xml:space="preserve">Hasini Maleesha </t>
  </si>
  <si>
    <t>Dilani Gunarathne</t>
  </si>
  <si>
    <t>Sandeepa Sewmini</t>
  </si>
  <si>
    <t>Nipun Fernando</t>
  </si>
  <si>
    <t xml:space="preserve">Dinul Sanjitha </t>
  </si>
  <si>
    <t>no receipt for a payment in 2024</t>
  </si>
  <si>
    <t xml:space="preserve">Chinthaka </t>
  </si>
  <si>
    <t>Seniru Dilmith</t>
  </si>
  <si>
    <t>Virajini Nimathika</t>
  </si>
  <si>
    <t xml:space="preserve">Nethmini Rasangika </t>
  </si>
  <si>
    <t>Yayani Pelwatte</t>
  </si>
  <si>
    <t xml:space="preserve">Kalshini Danushika </t>
  </si>
  <si>
    <t xml:space="preserve">Chamalka Lakruwan </t>
  </si>
  <si>
    <t xml:space="preserve">Navod Uthpala </t>
  </si>
  <si>
    <t>Navodhi Ashinshana</t>
  </si>
  <si>
    <t>Kaveesha Kavindi Dissanayake</t>
  </si>
  <si>
    <t>Anija Sandali</t>
  </si>
  <si>
    <t>P.D.C. Gauri</t>
  </si>
  <si>
    <t>Nethra Kalupahana</t>
  </si>
  <si>
    <t xml:space="preserve">Y. Sheron </t>
  </si>
  <si>
    <t>Thushima Nimnasara</t>
  </si>
  <si>
    <t xml:space="preserve">Chirani Perera </t>
  </si>
  <si>
    <t xml:space="preserve">Vidushini Darshika </t>
  </si>
  <si>
    <t>Anthonella Fernando</t>
  </si>
  <si>
    <t>Sewwandi Subashini</t>
  </si>
  <si>
    <t>Dilmi Ayodya</t>
  </si>
  <si>
    <t>Layanga Sulakshini</t>
  </si>
  <si>
    <t xml:space="preserve">Miyuru Thanuka </t>
  </si>
  <si>
    <t xml:space="preserve">S. A. Tharushi Lakshika </t>
  </si>
  <si>
    <t>Dilki Heshani</t>
  </si>
  <si>
    <t>P.D.D. Hansamali</t>
  </si>
  <si>
    <t>Aruja Sandali</t>
  </si>
  <si>
    <t>Thenuki Sanseya</t>
  </si>
  <si>
    <t>Nimesh Gimhan</t>
  </si>
  <si>
    <t>Vimukthi Bandara</t>
  </si>
  <si>
    <t xml:space="preserve">Yenusha Tashmika </t>
  </si>
  <si>
    <t xml:space="preserve">Nadith Sewonella </t>
  </si>
  <si>
    <t xml:space="preserve">Chathurika Mayadunna </t>
  </si>
  <si>
    <t>Kawya Rajapaksha</t>
  </si>
  <si>
    <t>Nishi Dissanayake</t>
  </si>
  <si>
    <t xml:space="preserve">Kushani Senevirthne </t>
  </si>
  <si>
    <t>Hansi Anuththara</t>
  </si>
  <si>
    <t>Sanjalee Hansamani</t>
  </si>
  <si>
    <t xml:space="preserve">Nethmi Ayesha </t>
  </si>
  <si>
    <t>Sangeeth Nadiyana</t>
  </si>
  <si>
    <t>Lakindu Pehesara</t>
  </si>
  <si>
    <t>Paduma Dissanayake</t>
  </si>
  <si>
    <t>Shamaya Kavindi</t>
  </si>
  <si>
    <t>Pramitha Hasanthi</t>
  </si>
  <si>
    <t>Kasun Adikari</t>
  </si>
  <si>
    <t xml:space="preserve">Hiru Senevirathne </t>
  </si>
  <si>
    <t>Kaveesha Kethmini</t>
  </si>
  <si>
    <t>Madhubhashini Balangoda</t>
  </si>
  <si>
    <t>Imasha Kavindi</t>
  </si>
  <si>
    <t>Shabana Lukman</t>
  </si>
  <si>
    <t>Tashen (CJ)</t>
  </si>
  <si>
    <t>Naveesha Senuri</t>
  </si>
  <si>
    <t>Matheesha Perera</t>
  </si>
  <si>
    <t>Athesha Devindu</t>
  </si>
  <si>
    <t xml:space="preserve">Hansani Weerasinghe </t>
  </si>
  <si>
    <t>Chamaka Janithma</t>
  </si>
  <si>
    <t>Y. Nisansala Sandaruwani</t>
  </si>
  <si>
    <t xml:space="preserve">Hanin Perera </t>
  </si>
  <si>
    <t>Nadeeka Dilrukshi</t>
  </si>
  <si>
    <t>Kavindya Kumarasiri</t>
  </si>
  <si>
    <t>Sithumi Sathyanjalee</t>
  </si>
  <si>
    <t>Rajitha Eranda</t>
  </si>
  <si>
    <t>Akishala Rathnayake</t>
  </si>
  <si>
    <t>Sawandi Ranasekara</t>
  </si>
  <si>
    <t>Janani Amalya</t>
  </si>
  <si>
    <t>Chalani Rathnamali</t>
  </si>
  <si>
    <t>W. I. R. Fernando</t>
  </si>
  <si>
    <t>Savithaki Nandasiri</t>
  </si>
  <si>
    <t>Sajani Prasadika</t>
  </si>
  <si>
    <t>Kavindu Heshan</t>
  </si>
  <si>
    <t>Minura Thunuku</t>
  </si>
  <si>
    <t>Maleesha Shenali</t>
  </si>
  <si>
    <t>Liyon Micheal</t>
  </si>
  <si>
    <t>Chanaka Edirisinghe</t>
  </si>
  <si>
    <t>Sandeepani Thennakoon</t>
  </si>
  <si>
    <t xml:space="preserve">Dilshan Nuwarapaksha </t>
  </si>
  <si>
    <t>Dinan Shen</t>
  </si>
  <si>
    <t xml:space="preserve">Student Name </t>
  </si>
  <si>
    <t>Date</t>
  </si>
  <si>
    <t>Invoice Number</t>
  </si>
  <si>
    <t xml:space="preserve">3rd Half Payment </t>
  </si>
  <si>
    <t xml:space="preserve">Date </t>
  </si>
  <si>
    <t xml:space="preserve">Suranji Gunarathne </t>
  </si>
  <si>
    <t>S. P. Senumi Risara</t>
  </si>
  <si>
    <t>Sanketh Vithana</t>
  </si>
  <si>
    <t>Sewmini Wijesinghe</t>
  </si>
  <si>
    <t xml:space="preserve">Shashikala Hansini </t>
  </si>
  <si>
    <t xml:space="preserve">Kaveesha Navodya </t>
  </si>
  <si>
    <t>Nidula Dinsanada</t>
  </si>
  <si>
    <t xml:space="preserve">Danushka Weerasinghe </t>
  </si>
  <si>
    <t xml:space="preserve">Taashi Omaya </t>
  </si>
  <si>
    <t xml:space="preserve">Praveena Rathnayake </t>
  </si>
  <si>
    <t>Gayesha Geenethmini</t>
  </si>
  <si>
    <t xml:space="preserve">Chanika Weerasinghe </t>
  </si>
  <si>
    <t>Sithum Sathsara</t>
  </si>
  <si>
    <t>Maleesha Minsara</t>
  </si>
  <si>
    <t>Lahasi Rasoda</t>
  </si>
  <si>
    <t xml:space="preserve">Deshon Randika </t>
  </si>
  <si>
    <t xml:space="preserve">Malshi Kavindya </t>
  </si>
  <si>
    <t>Ridma Sankalpa</t>
  </si>
  <si>
    <t>Dhanushka Roshan</t>
  </si>
  <si>
    <t>Sajith Dissanayake</t>
  </si>
  <si>
    <t>Naveen Hasaranga</t>
  </si>
  <si>
    <t>Admission Cancelled</t>
  </si>
  <si>
    <t>Srineth Apasinghe</t>
  </si>
  <si>
    <t>Kavindu Ranasinghe</t>
  </si>
  <si>
    <t>Hiruni Panchali</t>
  </si>
  <si>
    <t>Heshani Satharasinghe</t>
  </si>
  <si>
    <t xml:space="preserve">Maleesha Rajakaruna </t>
  </si>
  <si>
    <t xml:space="preserve">Nishal Chandrawansha </t>
  </si>
  <si>
    <t>Lakshika Dissanayake</t>
  </si>
  <si>
    <t xml:space="preserve">Free of Charge </t>
  </si>
  <si>
    <t>Scholorship</t>
  </si>
  <si>
    <t>Bhanuka Senanayake</t>
  </si>
  <si>
    <t>Tehara Jayawardane</t>
  </si>
  <si>
    <t>Sithmi Perera</t>
  </si>
  <si>
    <t>Lesandu Dewmith</t>
  </si>
  <si>
    <t>Tharudini Irugalbandara</t>
  </si>
  <si>
    <t>Ruchira Dissanayake</t>
  </si>
  <si>
    <t xml:space="preserve">Sakuni Hansika </t>
  </si>
  <si>
    <t>M.P. Eshan Randunu</t>
  </si>
  <si>
    <t>Harsha Bhanuka</t>
  </si>
  <si>
    <t>Nethmi Akarshani</t>
  </si>
  <si>
    <t>Bimalka Jayamith</t>
  </si>
  <si>
    <t xml:space="preserve">Omalsha Gunawardane </t>
  </si>
  <si>
    <t>16/11/2025</t>
  </si>
  <si>
    <t>Gayeshan Theekshana</t>
  </si>
  <si>
    <t xml:space="preserve">Sherin Natasha </t>
  </si>
  <si>
    <t>Sanduni Herath</t>
  </si>
  <si>
    <t>Mahdi Althaf</t>
  </si>
  <si>
    <t>Lakmini Diwyanjali</t>
  </si>
  <si>
    <t>Heshani Bhagya</t>
  </si>
  <si>
    <t>K.W.O Samprass</t>
  </si>
  <si>
    <t>Sachini Dulanjali</t>
  </si>
  <si>
    <t xml:space="preserve">J.A. Udeni jayasinghe </t>
  </si>
  <si>
    <t xml:space="preserve">Nimain Lokusooriya </t>
  </si>
  <si>
    <t xml:space="preserve">Kasun Thushantha </t>
  </si>
  <si>
    <t xml:space="preserve">Apsara Imesha </t>
  </si>
  <si>
    <t xml:space="preserve">Ashwini Wimalarathne </t>
  </si>
  <si>
    <t>Baddakachchayana Rajapakse</t>
  </si>
  <si>
    <t>Amila Samarasekara</t>
  </si>
  <si>
    <t xml:space="preserve">K.W.S. Vihara </t>
  </si>
  <si>
    <t xml:space="preserve"> </t>
  </si>
  <si>
    <t xml:space="preserve">Chamathka Balasooriya </t>
  </si>
  <si>
    <t xml:space="preserve">Basith Ameer </t>
  </si>
  <si>
    <t>Anna Naseer</t>
  </si>
  <si>
    <t xml:space="preserve">Indunil Akalanka </t>
  </si>
  <si>
    <t>He said did not received 25,000 receipt</t>
  </si>
  <si>
    <t xml:space="preserve">Amami Rithmika </t>
  </si>
  <si>
    <t xml:space="preserve">Nelushi Jayasinghe </t>
  </si>
  <si>
    <t>116 (3rd)</t>
  </si>
  <si>
    <t xml:space="preserve">Lumbini Thakshila </t>
  </si>
  <si>
    <t xml:space="preserve">Shane Malwatta </t>
  </si>
  <si>
    <t xml:space="preserve">Dilakshi Pramodya </t>
  </si>
  <si>
    <t xml:space="preserve">Bhagya Jayathilaka </t>
  </si>
  <si>
    <t xml:space="preserve">Yaseen Avishka </t>
  </si>
  <si>
    <t xml:space="preserve">Bhagya De Silva </t>
  </si>
  <si>
    <t>Rashmi Roneesha</t>
  </si>
  <si>
    <t xml:space="preserve">Sachintha Hirudaka </t>
  </si>
  <si>
    <t xml:space="preserve">Shenoli Jayawardane </t>
  </si>
  <si>
    <t xml:space="preserve">Nimath Jayawardane </t>
  </si>
  <si>
    <t xml:space="preserve">Kavindu Rashmika </t>
  </si>
  <si>
    <t>D.M. Piyumi Nisansala</t>
  </si>
  <si>
    <t>Umesha Hansamali</t>
  </si>
  <si>
    <t>Vivishka Shanuja</t>
  </si>
  <si>
    <t xml:space="preserve">Udara Madhushanka </t>
  </si>
  <si>
    <t xml:space="preserve">Krishanthi Rajapakse </t>
  </si>
  <si>
    <t>W.P. Lasuri Oshadhi</t>
  </si>
  <si>
    <t>Yuhansa Jayawardena</t>
  </si>
  <si>
    <t xml:space="preserve">Added 10% for the last payment </t>
  </si>
  <si>
    <t>Chenuri Gunawardena</t>
  </si>
  <si>
    <t>Chithira Nadil</t>
  </si>
  <si>
    <t>Dimantha Jayawardana</t>
  </si>
  <si>
    <t>Pawan Punsara</t>
  </si>
  <si>
    <t>Anjana Vishwa</t>
  </si>
  <si>
    <t>Nihara Rodrigo</t>
  </si>
  <si>
    <t>Vimarsha Akashi</t>
  </si>
  <si>
    <t>Lasantha Lahiru</t>
  </si>
  <si>
    <t>Dewindi asahaya</t>
  </si>
  <si>
    <t>Dinuji Sathsarani</t>
  </si>
  <si>
    <t>Nimesha Madushani</t>
  </si>
  <si>
    <t>Invoice</t>
  </si>
  <si>
    <t>Invoice No.</t>
  </si>
  <si>
    <t>1st  payment</t>
  </si>
  <si>
    <t>Invoice No</t>
  </si>
  <si>
    <t>2nd payment</t>
  </si>
  <si>
    <t>3rd Payment</t>
  </si>
  <si>
    <t xml:space="preserve">Sandali Perera </t>
  </si>
  <si>
    <t>Ruvinda</t>
  </si>
  <si>
    <t>Kaveena Sathsarani</t>
  </si>
  <si>
    <t>Naveeda</t>
  </si>
  <si>
    <t>Danushi Sisara Waas</t>
  </si>
  <si>
    <t>M. Senanayake</t>
  </si>
  <si>
    <t>Diwyangana Senevirathna</t>
  </si>
  <si>
    <t>140/141</t>
  </si>
  <si>
    <t>Hasani</t>
  </si>
  <si>
    <t>Dhanani Herath</t>
  </si>
  <si>
    <t>Dinesh Sampath</t>
  </si>
  <si>
    <t>Mishell</t>
  </si>
  <si>
    <t>Janindu Punsara</t>
  </si>
  <si>
    <t xml:space="preserve">Bimsara Dias </t>
  </si>
  <si>
    <t>Isuru Harshana</t>
  </si>
  <si>
    <t>Tushani</t>
  </si>
  <si>
    <t>K A Rison Vindiv</t>
  </si>
  <si>
    <t>Sandun</t>
  </si>
  <si>
    <t>Check</t>
  </si>
  <si>
    <t>Bihara Perera</t>
  </si>
  <si>
    <t>A M Afrat</t>
  </si>
  <si>
    <t>Harshani Indunil</t>
  </si>
  <si>
    <t>151/152</t>
  </si>
  <si>
    <t xml:space="preserve">Kaveesha Jayawardhana </t>
  </si>
  <si>
    <t xml:space="preserve">Sandunika Sewwandi </t>
  </si>
  <si>
    <t xml:space="preserve">Kaushani Bhagya </t>
  </si>
  <si>
    <t xml:space="preserve">Kristila Perera </t>
  </si>
  <si>
    <t>Savindi Udeesha</t>
  </si>
  <si>
    <t xml:space="preserve">Ravihansa Perera </t>
  </si>
  <si>
    <t>Binoli Perera</t>
  </si>
  <si>
    <t>Umashi Indara</t>
  </si>
  <si>
    <t>Meriyan Dilhari Madhushika</t>
  </si>
  <si>
    <t>Suneth Nimantha</t>
  </si>
  <si>
    <t>Not Paid Yet</t>
  </si>
  <si>
    <t>Ryan Tharusha</t>
  </si>
  <si>
    <t>Janitha Dananjaya</t>
  </si>
  <si>
    <t>Tharushi Kanishka</t>
  </si>
  <si>
    <t>Sandu Vihari</t>
  </si>
  <si>
    <t>Raveena Manthilaka</t>
  </si>
  <si>
    <t xml:space="preserve">H D Shashinika Gimhani </t>
  </si>
  <si>
    <t xml:space="preserve">Not added to the sysytem cus pending joining </t>
  </si>
  <si>
    <t>Yashodara Shehani</t>
  </si>
  <si>
    <t xml:space="preserve">Priyanka Jeewan </t>
  </si>
  <si>
    <t>Ilakshi Madunirma</t>
  </si>
  <si>
    <t>Sandaru Perera</t>
  </si>
  <si>
    <t>Maduwanthi Kumari</t>
  </si>
  <si>
    <t>Dilana Geesanda</t>
  </si>
  <si>
    <t>Thejani Nathaliya</t>
  </si>
  <si>
    <t xml:space="preserve">Kithmini Niharika </t>
  </si>
  <si>
    <t>Sachintha Lakshani</t>
  </si>
  <si>
    <t>Gayani Gamalath</t>
  </si>
  <si>
    <t>Methuli Savinya</t>
  </si>
  <si>
    <t>Linuka Silva</t>
  </si>
  <si>
    <t>Kalana Gimhan</t>
  </si>
  <si>
    <t xml:space="preserve">Nuwan Kumara </t>
  </si>
  <si>
    <t xml:space="preserve">Kaveesha Sewwandi </t>
  </si>
  <si>
    <t xml:space="preserve">Amasha Dassanayake </t>
  </si>
  <si>
    <t>Present</t>
  </si>
  <si>
    <t xml:space="preserve">W. Sethumi Thisathma Jayarathne </t>
  </si>
  <si>
    <t xml:space="preserve">W. Withumi Sesthma Jayarathne </t>
  </si>
  <si>
    <t xml:space="preserve">Neyara Nathari </t>
  </si>
  <si>
    <t xml:space="preserve">Kusaljith Hansana </t>
  </si>
  <si>
    <t xml:space="preserve">Dhahami Sasha </t>
  </si>
  <si>
    <t>Oceana Wijaywickrama</t>
  </si>
  <si>
    <t>Andrena Megan</t>
  </si>
  <si>
    <t>Iona Anthony</t>
  </si>
  <si>
    <t xml:space="preserve">Diandra De Silva </t>
  </si>
  <si>
    <t xml:space="preserve">Iana Micheal </t>
  </si>
  <si>
    <t>Shenuda Yehansa</t>
  </si>
  <si>
    <t xml:space="preserve">Sanchitha Pnasilu Gayan </t>
  </si>
  <si>
    <t xml:space="preserve">Shanali Senaya </t>
  </si>
  <si>
    <t>Jenuli Kevinya</t>
  </si>
  <si>
    <t>Rachel Peris</t>
  </si>
  <si>
    <t>Withum Sethmith</t>
  </si>
  <si>
    <t>K.W. Ileesha Vinudhi</t>
  </si>
  <si>
    <t>Rithin Geeganagodage</t>
  </si>
  <si>
    <t>Liyan Shree</t>
  </si>
  <si>
    <t>Viyan Shree</t>
  </si>
  <si>
    <t>Yethul Lewhan</t>
  </si>
  <si>
    <t>S. A. Sethuni Ranulya</t>
  </si>
  <si>
    <t>Meheli Akenya</t>
  </si>
  <si>
    <t>Garvi Thavinsa Sagauravi</t>
  </si>
  <si>
    <t>Aken Morayes</t>
  </si>
  <si>
    <t>Menul Dewjaan</t>
  </si>
  <si>
    <t>Minuli Sena</t>
  </si>
  <si>
    <t>Suhari Rajahuru</t>
  </si>
  <si>
    <t>Sesari Limansa</t>
  </si>
  <si>
    <t>Ruseli Dinesini</t>
  </si>
  <si>
    <t xml:space="preserve">Mahommed Aquil </t>
  </si>
  <si>
    <t>Kiara Ameli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</si>
</sst>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  <font>
      <color rgb="FF000000"/>
      <name val="Arial"/>
    </font>
    <font>
      <b/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readingOrder="0" vertical="bottom"/>
    </xf>
    <xf borderId="1" fillId="3" fontId="2" numFmtId="3" xfId="0" applyAlignment="1" applyBorder="1" applyFont="1" applyNumberFormat="1">
      <alignment vertical="bottom"/>
    </xf>
    <xf borderId="1" fillId="3" fontId="2" numFmtId="0" xfId="0" applyAlignment="1" applyBorder="1" applyFont="1">
      <alignment vertical="bottom"/>
    </xf>
    <xf borderId="1" fillId="3" fontId="2" numFmtId="3" xfId="0" applyAlignment="1" applyBorder="1" applyFont="1" applyNumberFormat="1">
      <alignment readingOrder="0" vertical="bottom"/>
    </xf>
    <xf borderId="1" fillId="3" fontId="2" numFmtId="3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3" fontId="4" numFmtId="0" xfId="0" applyFont="1"/>
    <xf borderId="0" fillId="3" fontId="2" numFmtId="0" xfId="0" applyAlignment="1" applyFont="1">
      <alignment vertical="bottom"/>
    </xf>
    <xf borderId="1" fillId="4" fontId="3" numFmtId="0" xfId="0" applyAlignment="1" applyBorder="1" applyFill="1" applyFont="1">
      <alignment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readingOrder="0" vertical="bottom"/>
    </xf>
    <xf borderId="1" fillId="4" fontId="2" numFmtId="3" xfId="0" applyAlignment="1" applyBorder="1" applyFont="1" applyNumberFormat="1">
      <alignment readingOrder="0" vertical="bottom"/>
    </xf>
    <xf borderId="1" fillId="4" fontId="2" numFmtId="3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0" fillId="4" fontId="4" numFmtId="0" xfId="0" applyFont="1"/>
    <xf borderId="0" fillId="4" fontId="2" numFmtId="0" xfId="0" applyAlignment="1" applyFont="1">
      <alignment vertical="bottom"/>
    </xf>
    <xf borderId="1" fillId="4" fontId="2" numFmtId="3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vertical="bottom"/>
    </xf>
    <xf borderId="1" fillId="5" fontId="3" numFmtId="0" xfId="0" applyAlignment="1" applyBorder="1" applyFill="1" applyFont="1">
      <alignment readingOrder="0" vertical="bottom"/>
    </xf>
    <xf borderId="1" fillId="5" fontId="2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readingOrder="0" vertical="bottom"/>
    </xf>
    <xf borderId="1" fillId="5" fontId="2" numFmtId="3" xfId="0" applyAlignment="1" applyBorder="1" applyFont="1" applyNumberFormat="1">
      <alignment readingOrder="0" vertical="bottom"/>
    </xf>
    <xf borderId="1" fillId="5" fontId="2" numFmtId="3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5" fontId="4" numFmtId="0" xfId="0" applyAlignment="1" applyFont="1">
      <alignment readingOrder="0"/>
    </xf>
    <xf borderId="0" fillId="5" fontId="2" numFmtId="0" xfId="0" applyAlignment="1" applyFont="1">
      <alignment vertical="bottom"/>
    </xf>
    <xf borderId="1" fillId="3" fontId="2" numFmtId="3" xfId="0" applyAlignment="1" applyBorder="1" applyFont="1" applyNumberFormat="1">
      <alignment horizontal="center" readingOrder="0" vertical="bottom"/>
    </xf>
    <xf borderId="1" fillId="6" fontId="3" numFmtId="0" xfId="0" applyAlignment="1" applyBorder="1" applyFill="1" applyFont="1">
      <alignment readingOrder="0" vertical="bottom"/>
    </xf>
    <xf borderId="1" fillId="6" fontId="2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readingOrder="0" vertical="bottom"/>
    </xf>
    <xf borderId="1" fillId="6" fontId="2" numFmtId="3" xfId="0" applyAlignment="1" applyBorder="1" applyFont="1" applyNumberFormat="1">
      <alignment readingOrder="0" vertical="bottom"/>
    </xf>
    <xf borderId="1" fillId="6" fontId="2" numFmtId="0" xfId="0" applyAlignment="1" applyBorder="1" applyFont="1">
      <alignment vertical="bottom"/>
    </xf>
    <xf borderId="1" fillId="6" fontId="2" numFmtId="3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0" fillId="6" fontId="4" numFmtId="0" xfId="0" applyFont="1"/>
    <xf borderId="0" fillId="6" fontId="2" numFmtId="0" xfId="0" applyAlignment="1" applyFont="1">
      <alignment vertical="bottom"/>
    </xf>
    <xf borderId="0" fillId="0" fontId="4" numFmtId="0" xfId="0" applyAlignment="1" applyFont="1">
      <alignment readingOrder="0"/>
    </xf>
    <xf borderId="1" fillId="3" fontId="5" numFmtId="0" xfId="0" applyAlignment="1" applyBorder="1" applyFont="1">
      <alignment readingOrder="0" vertical="bottom"/>
    </xf>
    <xf borderId="1" fillId="3" fontId="6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3" fontId="6" numFmtId="3" xfId="0" applyAlignment="1" applyBorder="1" applyFont="1" applyNumberFormat="1">
      <alignment readingOrder="0" vertical="bottom"/>
    </xf>
    <xf borderId="1" fillId="3" fontId="6" numFmtId="0" xfId="0" applyAlignment="1" applyBorder="1" applyFont="1">
      <alignment readingOrder="0" vertical="bottom"/>
    </xf>
    <xf borderId="1" fillId="3" fontId="6" numFmtId="164" xfId="0" applyAlignment="1" applyBorder="1" applyFont="1" applyNumberFormat="1">
      <alignment readingOrder="0" vertical="bottom"/>
    </xf>
    <xf borderId="1" fillId="3" fontId="6" numFmtId="3" xfId="0" applyAlignment="1" applyBorder="1" applyFont="1" applyNumberFormat="1">
      <alignment horizontal="center" vertical="bottom"/>
    </xf>
    <xf borderId="0" fillId="3" fontId="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center" vertical="bottom"/>
    </xf>
    <xf borderId="0" fillId="6" fontId="7" numFmtId="0" xfId="0" applyAlignment="1" applyFont="1">
      <alignment readingOrder="0"/>
    </xf>
    <xf borderId="0" fillId="6" fontId="7" numFmtId="0" xfId="0" applyFont="1"/>
    <xf borderId="0" fillId="6" fontId="7" numFmtId="3" xfId="0" applyFont="1" applyNumberFormat="1"/>
    <xf borderId="0" fillId="0" fontId="2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3" fontId="2" numFmtId="164" xfId="0" applyAlignment="1" applyBorder="1" applyFont="1" applyNumberFormat="1">
      <alignment readingOrder="0" vertical="bottom"/>
    </xf>
    <xf borderId="1" fillId="3" fontId="2" numFmtId="164" xfId="0" applyAlignment="1" applyBorder="1" applyFont="1" applyNumberFormat="1">
      <alignment horizontal="center" readingOrder="0" vertical="bottom"/>
    </xf>
    <xf borderId="1" fillId="4" fontId="2" numFmtId="164" xfId="0" applyAlignment="1" applyBorder="1" applyFont="1" applyNumberFormat="1">
      <alignment readingOrder="0" vertical="bottom"/>
    </xf>
    <xf borderId="1" fillId="4" fontId="2" numFmtId="164" xfId="0" applyAlignment="1" applyBorder="1" applyFont="1" applyNumberFormat="1">
      <alignment horizontal="center" readingOrder="0" vertical="bottom"/>
    </xf>
    <xf borderId="1" fillId="7" fontId="3" numFmtId="0" xfId="0" applyAlignment="1" applyBorder="1" applyFill="1" applyFont="1">
      <alignment readingOrder="0" vertical="bottom"/>
    </xf>
    <xf borderId="1" fillId="7" fontId="2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readingOrder="0" vertical="bottom"/>
    </xf>
    <xf borderId="1" fillId="7" fontId="2" numFmtId="164" xfId="0" applyAlignment="1" applyBorder="1" applyFont="1" applyNumberFormat="1">
      <alignment readingOrder="0" vertical="bottom"/>
    </xf>
    <xf borderId="1" fillId="7" fontId="2" numFmtId="3" xfId="0" applyAlignment="1" applyBorder="1" applyFont="1" applyNumberFormat="1">
      <alignment readingOrder="0" vertical="bottom"/>
    </xf>
    <xf borderId="1" fillId="7" fontId="2" numFmtId="164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vertical="bottom"/>
    </xf>
    <xf borderId="1" fillId="7" fontId="2" numFmtId="3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horizontal="center" vertical="bottom"/>
    </xf>
    <xf borderId="0" fillId="7" fontId="4" numFmtId="0" xfId="0" applyFont="1"/>
    <xf borderId="1" fillId="0" fontId="2" numFmtId="3" xfId="0" applyAlignment="1" applyBorder="1" applyFont="1" applyNumberFormat="1">
      <alignment horizontal="center" readingOrder="0" vertical="bottom"/>
    </xf>
    <xf borderId="0" fillId="4" fontId="4" numFmtId="0" xfId="0" applyAlignment="1" applyFont="1">
      <alignment readingOrder="0"/>
    </xf>
    <xf borderId="1" fillId="3" fontId="2" numFmtId="3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right" readingOrder="0" vertical="bottom"/>
    </xf>
    <xf borderId="1" fillId="0" fontId="2" numFmtId="3" xfId="0" applyAlignment="1" applyBorder="1" applyFont="1" applyNumberFormat="1">
      <alignment horizontal="right" vertical="bottom"/>
    </xf>
    <xf borderId="1" fillId="8" fontId="3" numFmtId="0" xfId="0" applyAlignment="1" applyBorder="1" applyFill="1" applyFont="1">
      <alignment readingOrder="0" vertical="bottom"/>
    </xf>
    <xf borderId="1" fillId="8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readingOrder="0" vertical="bottom"/>
    </xf>
    <xf borderId="1" fillId="8" fontId="2" numFmtId="3" xfId="0" applyAlignment="1" applyBorder="1" applyFont="1" applyNumberFormat="1">
      <alignment readingOrder="0" vertical="bottom"/>
    </xf>
    <xf borderId="1" fillId="8" fontId="2" numFmtId="164" xfId="0" applyAlignment="1" applyBorder="1" applyFont="1" applyNumberFormat="1">
      <alignment horizontal="center" readingOrder="0" vertical="bottom"/>
    </xf>
    <xf borderId="1" fillId="8" fontId="2" numFmtId="164" xfId="0" applyAlignment="1" applyBorder="1" applyFont="1" applyNumberFormat="1">
      <alignment readingOrder="0" vertical="bottom"/>
    </xf>
    <xf borderId="1" fillId="8" fontId="2" numFmtId="3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horizontal="center" vertical="bottom"/>
    </xf>
    <xf borderId="0" fillId="8" fontId="4" numFmtId="0" xfId="0" applyFont="1"/>
    <xf borderId="0" fillId="0" fontId="4" numFmtId="0" xfId="0" applyAlignment="1" applyFont="1">
      <alignment horizontal="center"/>
    </xf>
    <xf borderId="1" fillId="9" fontId="8" numFmtId="0" xfId="0" applyAlignment="1" applyBorder="1" applyFill="1" applyFont="1">
      <alignment horizontal="center" readingOrder="0" vertical="bottom"/>
    </xf>
    <xf borderId="1" fillId="5" fontId="2" numFmtId="164" xfId="0" applyAlignment="1" applyBorder="1" applyFont="1" applyNumberFormat="1">
      <alignment readingOrder="0" vertical="bottom"/>
    </xf>
    <xf borderId="1" fillId="5" fontId="2" numFmtId="164" xfId="0" applyAlignment="1" applyBorder="1" applyFont="1" applyNumberFormat="1">
      <alignment horizontal="center" readingOrder="0" vertical="bottom"/>
    </xf>
    <xf borderId="1" fillId="5" fontId="2" numFmtId="0" xfId="0" applyAlignment="1" applyBorder="1" applyFont="1">
      <alignment vertical="bottom"/>
    </xf>
    <xf borderId="0" fillId="5" fontId="4" numFmtId="0" xfId="0" applyFont="1"/>
    <xf borderId="1" fillId="10" fontId="3" numFmtId="0" xfId="0" applyAlignment="1" applyBorder="1" applyFill="1" applyFont="1">
      <alignment readingOrder="0" vertical="bottom"/>
    </xf>
    <xf borderId="1" fillId="10" fontId="2" numFmtId="0" xfId="0" applyAlignment="1" applyBorder="1" applyFont="1">
      <alignment horizontal="center" readingOrder="0" vertical="bottom"/>
    </xf>
    <xf borderId="1" fillId="10" fontId="2" numFmtId="0" xfId="0" applyAlignment="1" applyBorder="1" applyFont="1">
      <alignment readingOrder="0" vertical="bottom"/>
    </xf>
    <xf borderId="1" fillId="10" fontId="2" numFmtId="164" xfId="0" applyAlignment="1" applyBorder="1" applyFont="1" applyNumberFormat="1">
      <alignment readingOrder="0" vertical="bottom"/>
    </xf>
    <xf borderId="1" fillId="10" fontId="2" numFmtId="3" xfId="0" applyAlignment="1" applyBorder="1" applyFont="1" applyNumberFormat="1">
      <alignment readingOrder="0" vertical="bottom"/>
    </xf>
    <xf borderId="1" fillId="10" fontId="2" numFmtId="164" xfId="0" applyAlignment="1" applyBorder="1" applyFont="1" applyNumberFormat="1">
      <alignment horizontal="center" readingOrder="0" vertical="bottom"/>
    </xf>
    <xf borderId="1" fillId="10" fontId="2" numFmtId="0" xfId="0" applyAlignment="1" applyBorder="1" applyFont="1">
      <alignment horizontal="center" vertical="bottom"/>
    </xf>
    <xf borderId="0" fillId="10" fontId="4" numFmtId="0" xfId="0" applyFont="1"/>
    <xf borderId="1" fillId="11" fontId="3" numFmtId="0" xfId="0" applyAlignment="1" applyBorder="1" applyFill="1" applyFont="1">
      <alignment readingOrder="0" vertical="bottom"/>
    </xf>
    <xf borderId="1" fillId="11" fontId="2" numFmtId="3" xfId="0" applyAlignment="1" applyBorder="1" applyFont="1" applyNumberFormat="1">
      <alignment horizontal="center" readingOrder="0" vertical="bottom"/>
    </xf>
    <xf borderId="1" fillId="11" fontId="2" numFmtId="0" xfId="0" applyAlignment="1" applyBorder="1" applyFont="1">
      <alignment horizontal="center" readingOrder="0" vertical="bottom"/>
    </xf>
    <xf borderId="1" fillId="11" fontId="2" numFmtId="0" xfId="0" applyAlignment="1" applyBorder="1" applyFont="1">
      <alignment readingOrder="0" vertical="bottom"/>
    </xf>
    <xf borderId="1" fillId="11" fontId="2" numFmtId="164" xfId="0" applyAlignment="1" applyBorder="1" applyFont="1" applyNumberFormat="1">
      <alignment readingOrder="0" vertical="bottom"/>
    </xf>
    <xf borderId="1" fillId="11" fontId="2" numFmtId="3" xfId="0" applyAlignment="1" applyBorder="1" applyFont="1" applyNumberFormat="1">
      <alignment horizontal="right" readingOrder="0" vertical="bottom"/>
    </xf>
    <xf borderId="1" fillId="11" fontId="2" numFmtId="3" xfId="0" applyAlignment="1" applyBorder="1" applyFont="1" applyNumberFormat="1">
      <alignment readingOrder="0" vertical="bottom"/>
    </xf>
    <xf borderId="1" fillId="11" fontId="2" numFmtId="164" xfId="0" applyAlignment="1" applyBorder="1" applyFont="1" applyNumberFormat="1">
      <alignment horizontal="center" readingOrder="0" vertical="bottom"/>
    </xf>
    <xf borderId="1" fillId="11" fontId="2" numFmtId="0" xfId="0" applyAlignment="1" applyBorder="1" applyFont="1">
      <alignment vertical="bottom"/>
    </xf>
    <xf borderId="1" fillId="11" fontId="2" numFmtId="0" xfId="0" applyAlignment="1" applyBorder="1" applyFont="1">
      <alignment horizontal="center" vertical="bottom"/>
    </xf>
    <xf borderId="0" fillId="11" fontId="4" numFmtId="0" xfId="0" applyFont="1"/>
    <xf borderId="1" fillId="12" fontId="3" numFmtId="0" xfId="0" applyAlignment="1" applyBorder="1" applyFill="1" applyFont="1">
      <alignment readingOrder="0" vertical="bottom"/>
    </xf>
    <xf borderId="1" fillId="12" fontId="2" numFmtId="3" xfId="0" applyAlignment="1" applyBorder="1" applyFont="1" applyNumberForma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readingOrder="0" vertical="bottom"/>
    </xf>
    <xf borderId="1" fillId="12" fontId="2" numFmtId="164" xfId="0" applyAlignment="1" applyBorder="1" applyFont="1" applyNumberFormat="1">
      <alignment readingOrder="0" vertical="bottom"/>
    </xf>
    <xf borderId="1" fillId="12" fontId="2" numFmtId="3" xfId="0" applyAlignment="1" applyBorder="1" applyFont="1" applyNumberFormat="1">
      <alignment readingOrder="0" vertical="bottom"/>
    </xf>
    <xf borderId="1" fillId="12" fontId="2" numFmtId="164" xfId="0" applyAlignment="1" applyBorder="1" applyFont="1" applyNumberFormat="1">
      <alignment horizontal="center" readingOrder="0" vertical="bottom"/>
    </xf>
    <xf borderId="1" fillId="12" fontId="2" numFmtId="0" xfId="0" applyAlignment="1" applyBorder="1" applyFont="1">
      <alignment horizontal="center" vertical="bottom"/>
    </xf>
    <xf borderId="0" fillId="12" fontId="4" numFmtId="0" xfId="0" applyFont="1"/>
    <xf borderId="1" fillId="13" fontId="3" numFmtId="0" xfId="0" applyAlignment="1" applyBorder="1" applyFill="1" applyFont="1">
      <alignment readingOrder="0" vertical="bottom"/>
    </xf>
    <xf borderId="1" fillId="13" fontId="2" numFmtId="3" xfId="0" applyAlignment="1" applyBorder="1" applyFont="1" applyNumberFormat="1">
      <alignment horizontal="center" readingOrder="0" vertical="bottom"/>
    </xf>
    <xf borderId="1" fillId="13" fontId="2" numFmtId="0" xfId="0" applyAlignment="1" applyBorder="1" applyFont="1">
      <alignment horizontal="center" readingOrder="0" vertical="bottom"/>
    </xf>
    <xf borderId="1" fillId="13" fontId="2" numFmtId="0" xfId="0" applyAlignment="1" applyBorder="1" applyFont="1">
      <alignment readingOrder="0" vertical="bottom"/>
    </xf>
    <xf borderId="1" fillId="13" fontId="2" numFmtId="164" xfId="0" applyAlignment="1" applyBorder="1" applyFont="1" applyNumberFormat="1">
      <alignment readingOrder="0" vertical="bottom"/>
    </xf>
    <xf borderId="1" fillId="13" fontId="2" numFmtId="3" xfId="0" applyAlignment="1" applyBorder="1" applyFont="1" applyNumberFormat="1">
      <alignment readingOrder="0" vertical="bottom"/>
    </xf>
    <xf borderId="1" fillId="13" fontId="2" numFmtId="0" xfId="0" applyAlignment="1" applyBorder="1" applyFont="1">
      <alignment vertical="bottom"/>
    </xf>
    <xf borderId="1" fillId="13" fontId="2" numFmtId="0" xfId="0" applyAlignment="1" applyBorder="1" applyFont="1">
      <alignment horizontal="center" vertical="bottom"/>
    </xf>
    <xf borderId="0" fillId="13" fontId="4" numFmtId="0" xfId="0" applyFont="1"/>
    <xf borderId="1" fillId="12" fontId="2" numFmtId="0" xfId="0" applyAlignment="1" applyBorder="1" applyFont="1">
      <alignment vertical="bottom"/>
    </xf>
    <xf borderId="0" fillId="12" fontId="5" numFmtId="0" xfId="0" applyAlignment="1" applyFont="1">
      <alignment readingOrder="0"/>
    </xf>
    <xf borderId="1" fillId="13" fontId="2" numFmtId="164" xfId="0" applyAlignment="1" applyBorder="1" applyFont="1" applyNumberFormat="1">
      <alignment horizontal="center" readingOrder="0" vertical="bottom"/>
    </xf>
    <xf borderId="1" fillId="12" fontId="2" numFmtId="3" xfId="0" applyAlignment="1" applyBorder="1" applyFont="1" applyNumberFormat="1">
      <alignment horizontal="right" readingOrder="0" vertical="bottom"/>
    </xf>
    <xf borderId="1" fillId="10" fontId="2" numFmtId="3" xfId="0" applyAlignment="1" applyBorder="1" applyFont="1" applyNumberFormat="1">
      <alignment horizontal="center" readingOrder="0" vertical="bottom"/>
    </xf>
    <xf borderId="1" fillId="10" fontId="2" numFmtId="0" xfId="0" applyAlignment="1" applyBorder="1" applyFont="1">
      <alignment vertical="bottom"/>
    </xf>
    <xf borderId="1" fillId="14" fontId="2" numFmtId="3" xfId="0" applyAlignment="1" applyBorder="1" applyFill="1" applyFont="1" applyNumberForma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14" fontId="3" numFmtId="0" xfId="0" applyAlignment="1" applyBorder="1" applyFont="1">
      <alignment readingOrder="0" vertical="bottom"/>
    </xf>
    <xf borderId="1" fillId="14" fontId="2" numFmtId="0" xfId="0" applyAlignment="1" applyBorder="1" applyFont="1">
      <alignment horizontal="center" readingOrder="0" vertical="bottom"/>
    </xf>
    <xf borderId="1" fillId="14" fontId="2" numFmtId="0" xfId="0" applyAlignment="1" applyBorder="1" applyFont="1">
      <alignment readingOrder="0" vertical="bottom"/>
    </xf>
    <xf borderId="1" fillId="14" fontId="2" numFmtId="164" xfId="0" applyAlignment="1" applyBorder="1" applyFont="1" applyNumberFormat="1">
      <alignment readingOrder="0" vertical="bottom"/>
    </xf>
    <xf borderId="1" fillId="14" fontId="2" numFmtId="164" xfId="0" applyAlignment="1" applyBorder="1" applyFont="1" applyNumberFormat="1">
      <alignment horizontal="center" readingOrder="0" vertical="bottom"/>
    </xf>
    <xf borderId="0" fillId="14" fontId="4" numFmtId="0" xfId="0" applyFont="1"/>
    <xf borderId="0" fillId="0" fontId="4" numFmtId="0" xfId="0" applyFont="1"/>
    <xf borderId="0" fillId="15" fontId="9" numFmtId="164" xfId="0" applyAlignment="1" applyFill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11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7.75"/>
    <col customWidth="1" min="3" max="3" width="15.88"/>
    <col customWidth="1" min="4" max="4" width="17.5"/>
    <col customWidth="1" min="5" max="5" width="16.63"/>
    <col customWidth="1" min="6" max="6" width="18.0"/>
    <col customWidth="1" min="7" max="7" width="14.5"/>
    <col customWidth="1" min="8" max="8" width="19.63"/>
    <col customWidth="1" min="9" max="9" width="18.75"/>
    <col customWidth="1" min="11" max="11" width="16.63"/>
    <col customWidth="1" min="12" max="12" width="19.0"/>
    <col customWidth="1" min="15" max="15" width="19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1</v>
      </c>
      <c r="H1" s="1" t="s">
        <v>4</v>
      </c>
      <c r="I1" s="1" t="s">
        <v>2</v>
      </c>
      <c r="J1" s="1" t="s">
        <v>1</v>
      </c>
      <c r="K1" s="1" t="s">
        <v>5</v>
      </c>
      <c r="L1" s="1" t="s">
        <v>2</v>
      </c>
      <c r="M1" s="1" t="s">
        <v>1</v>
      </c>
      <c r="N1" s="1"/>
      <c r="O1" s="1"/>
      <c r="P1" s="1" t="s">
        <v>6</v>
      </c>
      <c r="Q1" s="1" t="s">
        <v>7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8</v>
      </c>
      <c r="B2" s="4">
        <v>15000.0</v>
      </c>
      <c r="C2" s="4" t="s">
        <v>9</v>
      </c>
      <c r="D2" s="5" t="s">
        <v>10</v>
      </c>
      <c r="E2" s="6"/>
      <c r="F2" s="7"/>
      <c r="G2" s="7"/>
      <c r="H2" s="7"/>
      <c r="I2" s="7"/>
      <c r="J2" s="7"/>
      <c r="K2" s="7"/>
      <c r="L2" s="7"/>
      <c r="M2" s="7"/>
      <c r="N2" s="8"/>
      <c r="O2" s="7"/>
      <c r="P2" s="8">
        <f t="shared" ref="P2:P7" si="1">65000 - SUM(E2, H2, K2)</f>
        <v>65000</v>
      </c>
      <c r="Q2" s="9" t="str">
        <f t="shared" ref="Q2:Q211" si="2">IF(P2=0, "Paid", "Pending")</f>
        <v>Pending</v>
      </c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11</v>
      </c>
      <c r="B3" s="9"/>
      <c r="C3" s="9"/>
      <c r="D3" s="7"/>
      <c r="E3" s="6">
        <v>10000.0</v>
      </c>
      <c r="F3" s="5" t="s">
        <v>12</v>
      </c>
      <c r="G3" s="5" t="s">
        <v>9</v>
      </c>
      <c r="H3" s="6">
        <v>30000.0</v>
      </c>
      <c r="I3" s="5" t="s">
        <v>12</v>
      </c>
      <c r="J3" s="5" t="s">
        <v>9</v>
      </c>
      <c r="K3" s="6">
        <v>25000.0</v>
      </c>
      <c r="L3" s="7"/>
      <c r="M3" s="7"/>
      <c r="N3" s="8"/>
      <c r="O3" s="7"/>
      <c r="P3" s="8">
        <f t="shared" si="1"/>
        <v>0</v>
      </c>
      <c r="Q3" s="9" t="str">
        <f t="shared" si="2"/>
        <v>Paid</v>
      </c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0" t="s">
        <v>13</v>
      </c>
      <c r="B4" s="11">
        <v>15000.0</v>
      </c>
      <c r="C4" s="11" t="s">
        <v>9</v>
      </c>
      <c r="D4" s="12" t="s">
        <v>12</v>
      </c>
      <c r="E4" s="13"/>
      <c r="F4" s="14"/>
      <c r="G4" s="14"/>
      <c r="H4" s="15">
        <v>15000.0</v>
      </c>
      <c r="I4" s="12" t="s">
        <v>12</v>
      </c>
      <c r="J4" s="12" t="s">
        <v>9</v>
      </c>
      <c r="K4" s="15">
        <v>20000.0</v>
      </c>
      <c r="L4" s="12" t="s">
        <v>12</v>
      </c>
      <c r="M4" s="12" t="s">
        <v>9</v>
      </c>
      <c r="N4" s="16"/>
      <c r="O4" s="12"/>
      <c r="P4" s="16">
        <f t="shared" si="1"/>
        <v>30000</v>
      </c>
      <c r="Q4" s="17" t="str">
        <f t="shared" si="2"/>
        <v>Pending</v>
      </c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3" t="s">
        <v>14</v>
      </c>
      <c r="B5" s="4">
        <v>15000.0</v>
      </c>
      <c r="C5" s="4" t="s">
        <v>9</v>
      </c>
      <c r="D5" s="5" t="s">
        <v>12</v>
      </c>
      <c r="E5" s="6">
        <v>20000.0</v>
      </c>
      <c r="F5" s="5" t="s">
        <v>12</v>
      </c>
      <c r="G5" s="5" t="s">
        <v>9</v>
      </c>
      <c r="H5" s="6">
        <v>30000.0</v>
      </c>
      <c r="I5" s="5" t="s">
        <v>12</v>
      </c>
      <c r="J5" s="5" t="s">
        <v>9</v>
      </c>
      <c r="K5" s="6">
        <v>9000.0</v>
      </c>
      <c r="L5" s="5" t="s">
        <v>12</v>
      </c>
      <c r="M5" s="5" t="s">
        <v>9</v>
      </c>
      <c r="N5" s="8"/>
      <c r="O5" s="5"/>
      <c r="P5" s="8">
        <f t="shared" si="1"/>
        <v>6000</v>
      </c>
      <c r="Q5" s="9" t="str">
        <f t="shared" si="2"/>
        <v>Pending</v>
      </c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 t="s">
        <v>15</v>
      </c>
      <c r="B6" s="11">
        <v>15000.0</v>
      </c>
      <c r="C6" s="11" t="s">
        <v>9</v>
      </c>
      <c r="D6" s="12" t="s">
        <v>12</v>
      </c>
      <c r="E6" s="15">
        <v>20000.0</v>
      </c>
      <c r="F6" s="12" t="s">
        <v>12</v>
      </c>
      <c r="G6" s="12" t="s">
        <v>9</v>
      </c>
      <c r="H6" s="15">
        <v>20000.0</v>
      </c>
      <c r="I6" s="12" t="s">
        <v>12</v>
      </c>
      <c r="J6" s="12" t="s">
        <v>9</v>
      </c>
      <c r="K6" s="15">
        <v>20000.0</v>
      </c>
      <c r="L6" s="12" t="s">
        <v>12</v>
      </c>
      <c r="M6" s="12" t="s">
        <v>9</v>
      </c>
      <c r="N6" s="16"/>
      <c r="O6" s="12"/>
      <c r="P6" s="16">
        <f t="shared" si="1"/>
        <v>5000</v>
      </c>
      <c r="Q6" s="17" t="str">
        <f t="shared" si="2"/>
        <v>Pending</v>
      </c>
      <c r="R6" s="18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20" t="s">
        <v>16</v>
      </c>
      <c r="B7" s="21">
        <v>15000.0</v>
      </c>
      <c r="C7" s="21" t="s">
        <v>9</v>
      </c>
      <c r="D7" s="22" t="s">
        <v>12</v>
      </c>
      <c r="E7" s="23">
        <v>20000.0</v>
      </c>
      <c r="F7" s="22" t="s">
        <v>12</v>
      </c>
      <c r="G7" s="22" t="s">
        <v>9</v>
      </c>
      <c r="H7" s="23">
        <v>20000.0</v>
      </c>
      <c r="I7" s="22" t="s">
        <v>12</v>
      </c>
      <c r="J7" s="22" t="s">
        <v>9</v>
      </c>
      <c r="K7" s="23">
        <v>25000.0</v>
      </c>
      <c r="L7" s="22" t="s">
        <v>12</v>
      </c>
      <c r="M7" s="22" t="s">
        <v>9</v>
      </c>
      <c r="N7" s="24"/>
      <c r="O7" s="22"/>
      <c r="P7" s="24">
        <f t="shared" si="1"/>
        <v>0</v>
      </c>
      <c r="Q7" s="25" t="str">
        <f t="shared" si="2"/>
        <v>Paid</v>
      </c>
      <c r="R7" s="26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0" t="s">
        <v>17</v>
      </c>
      <c r="B8" s="21">
        <v>15000.0</v>
      </c>
      <c r="C8" s="21" t="s">
        <v>9</v>
      </c>
      <c r="D8" s="22" t="s">
        <v>12</v>
      </c>
      <c r="E8" s="23">
        <v>20000.0</v>
      </c>
      <c r="F8" s="22" t="s">
        <v>10</v>
      </c>
      <c r="G8" s="22" t="s">
        <v>9</v>
      </c>
      <c r="H8" s="23">
        <v>20000.0</v>
      </c>
      <c r="I8" s="22" t="s">
        <v>12</v>
      </c>
      <c r="J8" s="22" t="s">
        <v>9</v>
      </c>
      <c r="K8" s="23">
        <v>15000.0</v>
      </c>
      <c r="L8" s="22" t="s">
        <v>12</v>
      </c>
      <c r="M8" s="22" t="s">
        <v>18</v>
      </c>
      <c r="N8" s="28">
        <v>10000.0</v>
      </c>
      <c r="O8" s="22" t="s">
        <v>12</v>
      </c>
      <c r="P8" s="24">
        <f>65000 - SUM(E8, H8, K8,N8)</f>
        <v>0</v>
      </c>
      <c r="Q8" s="25" t="str">
        <f t="shared" si="2"/>
        <v>Paid</v>
      </c>
      <c r="R8" s="26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0" t="s">
        <v>19</v>
      </c>
      <c r="B9" s="21">
        <v>15000.0</v>
      </c>
      <c r="C9" s="21" t="s">
        <v>9</v>
      </c>
      <c r="D9" s="22" t="s">
        <v>12</v>
      </c>
      <c r="E9" s="23">
        <v>20000.0</v>
      </c>
      <c r="F9" s="22" t="s">
        <v>12</v>
      </c>
      <c r="G9" s="22" t="s">
        <v>9</v>
      </c>
      <c r="H9" s="23">
        <v>25000.0</v>
      </c>
      <c r="I9" s="22" t="s">
        <v>12</v>
      </c>
      <c r="J9" s="22" t="s">
        <v>18</v>
      </c>
      <c r="K9" s="23">
        <v>20000.0</v>
      </c>
      <c r="L9" s="22" t="s">
        <v>10</v>
      </c>
      <c r="M9" s="22" t="s">
        <v>18</v>
      </c>
      <c r="N9" s="24"/>
      <c r="O9" s="22"/>
      <c r="P9" s="24">
        <f t="shared" ref="P9:P135" si="3">65000 - SUM(E9, H9, K9)</f>
        <v>0</v>
      </c>
      <c r="Q9" s="25" t="str">
        <f t="shared" si="2"/>
        <v>Paid</v>
      </c>
      <c r="R9" s="26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0" t="s">
        <v>20</v>
      </c>
      <c r="B10" s="21">
        <v>15000.0</v>
      </c>
      <c r="C10" s="21" t="s">
        <v>9</v>
      </c>
      <c r="D10" s="22" t="s">
        <v>12</v>
      </c>
      <c r="E10" s="23">
        <v>20000.0</v>
      </c>
      <c r="F10" s="22" t="s">
        <v>12</v>
      </c>
      <c r="G10" s="22" t="s">
        <v>9</v>
      </c>
      <c r="H10" s="23">
        <v>20000.0</v>
      </c>
      <c r="I10" s="22" t="s">
        <v>12</v>
      </c>
      <c r="J10" s="22" t="s">
        <v>9</v>
      </c>
      <c r="K10" s="23">
        <v>25000.0</v>
      </c>
      <c r="L10" s="22" t="s">
        <v>12</v>
      </c>
      <c r="M10" s="22" t="s">
        <v>9</v>
      </c>
      <c r="N10" s="24"/>
      <c r="O10" s="22"/>
      <c r="P10" s="24">
        <f t="shared" si="3"/>
        <v>0</v>
      </c>
      <c r="Q10" s="25" t="str">
        <f t="shared" si="2"/>
        <v>Paid</v>
      </c>
      <c r="R10" s="26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0" t="s">
        <v>21</v>
      </c>
      <c r="B11" s="21">
        <v>15000.0</v>
      </c>
      <c r="C11" s="21" t="s">
        <v>9</v>
      </c>
      <c r="D11" s="22" t="s">
        <v>10</v>
      </c>
      <c r="E11" s="23">
        <v>20000.0</v>
      </c>
      <c r="F11" s="22" t="s">
        <v>10</v>
      </c>
      <c r="G11" s="22" t="s">
        <v>9</v>
      </c>
      <c r="H11" s="23">
        <v>45000.0</v>
      </c>
      <c r="I11" s="22" t="s">
        <v>12</v>
      </c>
      <c r="J11" s="22" t="s">
        <v>18</v>
      </c>
      <c r="K11" s="29"/>
      <c r="L11" s="29"/>
      <c r="M11" s="29"/>
      <c r="N11" s="24"/>
      <c r="O11" s="29"/>
      <c r="P11" s="24">
        <f t="shared" si="3"/>
        <v>0</v>
      </c>
      <c r="Q11" s="25" t="str">
        <f t="shared" si="2"/>
        <v>Paid</v>
      </c>
      <c r="R11" s="26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3" t="s">
        <v>22</v>
      </c>
      <c r="B12" s="4">
        <v>15000.0</v>
      </c>
      <c r="C12" s="4" t="s">
        <v>9</v>
      </c>
      <c r="D12" s="5" t="s">
        <v>10</v>
      </c>
      <c r="E12" s="30"/>
      <c r="F12" s="7"/>
      <c r="G12" s="7"/>
      <c r="H12" s="6">
        <v>35000.0</v>
      </c>
      <c r="I12" s="5" t="s">
        <v>10</v>
      </c>
      <c r="J12" s="5" t="s">
        <v>9</v>
      </c>
      <c r="K12" s="7"/>
      <c r="L12" s="7"/>
      <c r="M12" s="7"/>
      <c r="N12" s="8"/>
      <c r="O12" s="7"/>
      <c r="P12" s="8">
        <f t="shared" si="3"/>
        <v>30000</v>
      </c>
      <c r="Q12" s="9" t="str">
        <f t="shared" si="2"/>
        <v>Pending</v>
      </c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0" t="s">
        <v>23</v>
      </c>
      <c r="B13" s="21">
        <v>15000.0</v>
      </c>
      <c r="C13" s="21" t="s">
        <v>9</v>
      </c>
      <c r="D13" s="22" t="s">
        <v>12</v>
      </c>
      <c r="E13" s="23">
        <v>25000.0</v>
      </c>
      <c r="F13" s="22" t="s">
        <v>12</v>
      </c>
      <c r="G13" s="22" t="s">
        <v>9</v>
      </c>
      <c r="H13" s="23">
        <v>20000.0</v>
      </c>
      <c r="I13" s="22" t="s">
        <v>12</v>
      </c>
      <c r="J13" s="22" t="s">
        <v>9</v>
      </c>
      <c r="K13" s="23">
        <v>20000.0</v>
      </c>
      <c r="L13" s="22" t="s">
        <v>12</v>
      </c>
      <c r="M13" s="22" t="s">
        <v>18</v>
      </c>
      <c r="N13" s="24"/>
      <c r="O13" s="22"/>
      <c r="P13" s="24">
        <f t="shared" si="3"/>
        <v>0</v>
      </c>
      <c r="Q13" s="25" t="str">
        <f t="shared" si="2"/>
        <v>Paid</v>
      </c>
      <c r="R13" s="26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10" t="s">
        <v>24</v>
      </c>
      <c r="B14" s="17"/>
      <c r="C14" s="17"/>
      <c r="D14" s="14"/>
      <c r="E14" s="15">
        <v>10000.0</v>
      </c>
      <c r="F14" s="12" t="s">
        <v>12</v>
      </c>
      <c r="G14" s="12" t="s">
        <v>9</v>
      </c>
      <c r="H14" s="15">
        <v>5000.0</v>
      </c>
      <c r="I14" s="12" t="s">
        <v>12</v>
      </c>
      <c r="J14" s="12" t="s">
        <v>9</v>
      </c>
      <c r="K14" s="14"/>
      <c r="L14" s="14"/>
      <c r="M14" s="14"/>
      <c r="N14" s="16"/>
      <c r="O14" s="14"/>
      <c r="P14" s="16">
        <f t="shared" si="3"/>
        <v>50000</v>
      </c>
      <c r="Q14" s="17" t="str">
        <f t="shared" si="2"/>
        <v>Pending</v>
      </c>
      <c r="R14" s="18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20" t="s">
        <v>25</v>
      </c>
      <c r="B15" s="21">
        <v>15000.0</v>
      </c>
      <c r="C15" s="21" t="s">
        <v>9</v>
      </c>
      <c r="D15" s="22" t="s">
        <v>12</v>
      </c>
      <c r="E15" s="23">
        <v>20000.0</v>
      </c>
      <c r="F15" s="22" t="s">
        <v>12</v>
      </c>
      <c r="G15" s="22" t="s">
        <v>9</v>
      </c>
      <c r="H15" s="23">
        <v>30000.0</v>
      </c>
      <c r="I15" s="22" t="s">
        <v>12</v>
      </c>
      <c r="J15" s="22" t="s">
        <v>9</v>
      </c>
      <c r="K15" s="23">
        <v>15000.0</v>
      </c>
      <c r="L15" s="22" t="s">
        <v>12</v>
      </c>
      <c r="M15" s="22" t="s">
        <v>9</v>
      </c>
      <c r="N15" s="24"/>
      <c r="O15" s="22"/>
      <c r="P15" s="24">
        <f t="shared" si="3"/>
        <v>0</v>
      </c>
      <c r="Q15" s="25" t="str">
        <f t="shared" si="2"/>
        <v>Paid</v>
      </c>
      <c r="R15" s="26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10" t="s">
        <v>26</v>
      </c>
      <c r="B16" s="11">
        <v>15000.0</v>
      </c>
      <c r="C16" s="11" t="s">
        <v>9</v>
      </c>
      <c r="D16" s="12" t="s">
        <v>12</v>
      </c>
      <c r="E16" s="15">
        <v>30000.0</v>
      </c>
      <c r="F16" s="12" t="s">
        <v>12</v>
      </c>
      <c r="G16" s="12" t="s">
        <v>9</v>
      </c>
      <c r="H16" s="14"/>
      <c r="I16" s="14"/>
      <c r="J16" s="14"/>
      <c r="K16" s="15">
        <v>15000.0</v>
      </c>
      <c r="L16" s="12" t="s">
        <v>12</v>
      </c>
      <c r="M16" s="12" t="s">
        <v>9</v>
      </c>
      <c r="N16" s="16"/>
      <c r="O16" s="12"/>
      <c r="P16" s="16">
        <f t="shared" si="3"/>
        <v>20000</v>
      </c>
      <c r="Q16" s="17" t="str">
        <f t="shared" si="2"/>
        <v>Pending</v>
      </c>
      <c r="R16" s="18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20" t="s">
        <v>27</v>
      </c>
      <c r="B17" s="21">
        <v>15000.0</v>
      </c>
      <c r="C17" s="21" t="s">
        <v>9</v>
      </c>
      <c r="D17" s="22" t="s">
        <v>12</v>
      </c>
      <c r="E17" s="23">
        <v>20000.0</v>
      </c>
      <c r="F17" s="22" t="s">
        <v>12</v>
      </c>
      <c r="G17" s="22" t="s">
        <v>9</v>
      </c>
      <c r="H17" s="23">
        <v>25000.0</v>
      </c>
      <c r="I17" s="22" t="s">
        <v>12</v>
      </c>
      <c r="J17" s="22" t="s">
        <v>9</v>
      </c>
      <c r="K17" s="23">
        <v>20000.0</v>
      </c>
      <c r="L17" s="22" t="s">
        <v>12</v>
      </c>
      <c r="M17" s="22" t="s">
        <v>9</v>
      </c>
      <c r="N17" s="24"/>
      <c r="O17" s="22"/>
      <c r="P17" s="24">
        <f t="shared" si="3"/>
        <v>0</v>
      </c>
      <c r="Q17" s="25" t="str">
        <f t="shared" si="2"/>
        <v>Paid</v>
      </c>
      <c r="R17" s="26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0" t="s">
        <v>28</v>
      </c>
      <c r="B18" s="21">
        <v>15000.0</v>
      </c>
      <c r="C18" s="21" t="s">
        <v>9</v>
      </c>
      <c r="D18" s="22" t="s">
        <v>12</v>
      </c>
      <c r="E18" s="23">
        <v>25000.0</v>
      </c>
      <c r="F18" s="22" t="s">
        <v>12</v>
      </c>
      <c r="G18" s="22" t="s">
        <v>9</v>
      </c>
      <c r="H18" s="23">
        <v>25000.0</v>
      </c>
      <c r="I18" s="22" t="s">
        <v>12</v>
      </c>
      <c r="J18" s="22" t="s">
        <v>9</v>
      </c>
      <c r="K18" s="23">
        <v>15000.0</v>
      </c>
      <c r="L18" s="22" t="s">
        <v>12</v>
      </c>
      <c r="M18" s="22" t="s">
        <v>9</v>
      </c>
      <c r="N18" s="24"/>
      <c r="O18" s="22"/>
      <c r="P18" s="24">
        <f t="shared" si="3"/>
        <v>0</v>
      </c>
      <c r="Q18" s="25" t="str">
        <f t="shared" si="2"/>
        <v>Paid</v>
      </c>
      <c r="R18" s="26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10" t="s">
        <v>29</v>
      </c>
      <c r="B19" s="11">
        <v>15000.0</v>
      </c>
      <c r="C19" s="11" t="s">
        <v>9</v>
      </c>
      <c r="D19" s="12" t="s">
        <v>12</v>
      </c>
      <c r="E19" s="15">
        <v>20000.0</v>
      </c>
      <c r="F19" s="12" t="s">
        <v>10</v>
      </c>
      <c r="G19" s="12" t="s">
        <v>9</v>
      </c>
      <c r="H19" s="14"/>
      <c r="I19" s="14"/>
      <c r="J19" s="14"/>
      <c r="K19" s="14"/>
      <c r="L19" s="14"/>
      <c r="M19" s="14"/>
      <c r="N19" s="16"/>
      <c r="O19" s="14"/>
      <c r="P19" s="16">
        <f t="shared" si="3"/>
        <v>45000</v>
      </c>
      <c r="Q19" s="17" t="str">
        <f t="shared" si="2"/>
        <v>Pending</v>
      </c>
      <c r="R19" s="18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3" t="s">
        <v>30</v>
      </c>
      <c r="B20" s="4">
        <v>15000.0</v>
      </c>
      <c r="C20" s="4" t="s">
        <v>9</v>
      </c>
      <c r="D20" s="5" t="s">
        <v>12</v>
      </c>
      <c r="E20" s="6">
        <v>30000.0</v>
      </c>
      <c r="F20" s="5" t="s">
        <v>12</v>
      </c>
      <c r="G20" s="5" t="s">
        <v>9</v>
      </c>
      <c r="H20" s="7"/>
      <c r="I20" s="7"/>
      <c r="J20" s="7"/>
      <c r="K20" s="7"/>
      <c r="L20" s="7"/>
      <c r="M20" s="7"/>
      <c r="N20" s="8"/>
      <c r="O20" s="7"/>
      <c r="P20" s="8">
        <f t="shared" si="3"/>
        <v>35000</v>
      </c>
      <c r="Q20" s="9" t="str">
        <f t="shared" si="2"/>
        <v>Pending</v>
      </c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0" t="s">
        <v>31</v>
      </c>
      <c r="B21" s="11">
        <v>15000.0</v>
      </c>
      <c r="C21" s="11" t="s">
        <v>9</v>
      </c>
      <c r="D21" s="12" t="s">
        <v>12</v>
      </c>
      <c r="E21" s="15">
        <v>30000.0</v>
      </c>
      <c r="F21" s="12" t="s">
        <v>12</v>
      </c>
      <c r="G21" s="12" t="s">
        <v>9</v>
      </c>
      <c r="H21" s="14"/>
      <c r="I21" s="14"/>
      <c r="J21" s="14"/>
      <c r="K21" s="14"/>
      <c r="L21" s="14"/>
      <c r="M21" s="14"/>
      <c r="N21" s="16"/>
      <c r="O21" s="14"/>
      <c r="P21" s="16">
        <f t="shared" si="3"/>
        <v>35000</v>
      </c>
      <c r="Q21" s="17" t="str">
        <f t="shared" si="2"/>
        <v>Pending</v>
      </c>
      <c r="R21" s="18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20" t="s">
        <v>32</v>
      </c>
      <c r="B22" s="21">
        <v>15000.0</v>
      </c>
      <c r="C22" s="21" t="s">
        <v>9</v>
      </c>
      <c r="D22" s="22" t="s">
        <v>10</v>
      </c>
      <c r="E22" s="23">
        <v>20000.0</v>
      </c>
      <c r="F22" s="22" t="s">
        <v>12</v>
      </c>
      <c r="G22" s="22" t="s">
        <v>9</v>
      </c>
      <c r="H22" s="23">
        <v>30000.0</v>
      </c>
      <c r="I22" s="22" t="s">
        <v>12</v>
      </c>
      <c r="J22" s="22" t="s">
        <v>9</v>
      </c>
      <c r="K22" s="23">
        <v>15000.0</v>
      </c>
      <c r="L22" s="22" t="s">
        <v>12</v>
      </c>
      <c r="M22" s="22" t="s">
        <v>9</v>
      </c>
      <c r="N22" s="24"/>
      <c r="O22" s="22"/>
      <c r="P22" s="24">
        <f t="shared" si="3"/>
        <v>0</v>
      </c>
      <c r="Q22" s="25" t="str">
        <f t="shared" si="2"/>
        <v>Paid</v>
      </c>
      <c r="R22" s="26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0" t="s">
        <v>33</v>
      </c>
      <c r="B23" s="21">
        <v>15000.0</v>
      </c>
      <c r="C23" s="21" t="s">
        <v>9</v>
      </c>
      <c r="D23" s="22" t="s">
        <v>12</v>
      </c>
      <c r="E23" s="23">
        <v>65000.0</v>
      </c>
      <c r="F23" s="22" t="s">
        <v>12</v>
      </c>
      <c r="G23" s="22" t="s">
        <v>9</v>
      </c>
      <c r="H23" s="29"/>
      <c r="I23" s="29"/>
      <c r="J23" s="29"/>
      <c r="K23" s="29"/>
      <c r="L23" s="29"/>
      <c r="M23" s="29"/>
      <c r="N23" s="24"/>
      <c r="O23" s="29"/>
      <c r="P23" s="24">
        <f t="shared" si="3"/>
        <v>0</v>
      </c>
      <c r="Q23" s="25" t="str">
        <f t="shared" si="2"/>
        <v>Paid</v>
      </c>
      <c r="R23" s="26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0" t="s">
        <v>34</v>
      </c>
      <c r="B24" s="21">
        <v>15000.0</v>
      </c>
      <c r="C24" s="21" t="s">
        <v>9</v>
      </c>
      <c r="D24" s="22" t="s">
        <v>10</v>
      </c>
      <c r="E24" s="23">
        <v>25000.0</v>
      </c>
      <c r="F24" s="22" t="s">
        <v>10</v>
      </c>
      <c r="G24" s="22" t="s">
        <v>9</v>
      </c>
      <c r="H24" s="23">
        <v>25000.0</v>
      </c>
      <c r="I24" s="22" t="s">
        <v>10</v>
      </c>
      <c r="J24" s="22" t="s">
        <v>9</v>
      </c>
      <c r="K24" s="23">
        <v>15000.0</v>
      </c>
      <c r="L24" s="22" t="s">
        <v>10</v>
      </c>
      <c r="M24" s="22" t="s">
        <v>18</v>
      </c>
      <c r="N24" s="24"/>
      <c r="O24" s="22"/>
      <c r="P24" s="24">
        <f t="shared" si="3"/>
        <v>0</v>
      </c>
      <c r="Q24" s="25" t="str">
        <f t="shared" si="2"/>
        <v>Paid</v>
      </c>
      <c r="R24" s="26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0" t="s">
        <v>35</v>
      </c>
      <c r="B25" s="21">
        <v>15000.0</v>
      </c>
      <c r="C25" s="21" t="s">
        <v>9</v>
      </c>
      <c r="D25" s="22" t="s">
        <v>12</v>
      </c>
      <c r="E25" s="23">
        <v>30000.0</v>
      </c>
      <c r="F25" s="22" t="s">
        <v>12</v>
      </c>
      <c r="G25" s="22" t="s">
        <v>9</v>
      </c>
      <c r="H25" s="23">
        <v>35000.0</v>
      </c>
      <c r="I25" s="22" t="s">
        <v>12</v>
      </c>
      <c r="J25" s="22" t="s">
        <v>9</v>
      </c>
      <c r="K25" s="29"/>
      <c r="L25" s="29"/>
      <c r="M25" s="29"/>
      <c r="N25" s="24"/>
      <c r="O25" s="29"/>
      <c r="P25" s="24">
        <f t="shared" si="3"/>
        <v>0</v>
      </c>
      <c r="Q25" s="25" t="str">
        <f t="shared" si="2"/>
        <v>Paid</v>
      </c>
      <c r="R25" s="26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0" t="s">
        <v>36</v>
      </c>
      <c r="B26" s="21">
        <v>15000.0</v>
      </c>
      <c r="C26" s="21" t="s">
        <v>9</v>
      </c>
      <c r="D26" s="22" t="s">
        <v>12</v>
      </c>
      <c r="E26" s="23">
        <v>25000.0</v>
      </c>
      <c r="F26" s="22" t="s">
        <v>12</v>
      </c>
      <c r="G26" s="22" t="s">
        <v>9</v>
      </c>
      <c r="H26" s="23">
        <v>30000.0</v>
      </c>
      <c r="I26" s="22" t="s">
        <v>12</v>
      </c>
      <c r="J26" s="22" t="s">
        <v>9</v>
      </c>
      <c r="K26" s="23">
        <v>10000.0</v>
      </c>
      <c r="L26" s="22" t="s">
        <v>12</v>
      </c>
      <c r="M26" s="22" t="s">
        <v>9</v>
      </c>
      <c r="N26" s="24"/>
      <c r="O26" s="22"/>
      <c r="P26" s="24">
        <f t="shared" si="3"/>
        <v>0</v>
      </c>
      <c r="Q26" s="25" t="str">
        <f t="shared" si="2"/>
        <v>Paid</v>
      </c>
      <c r="R26" s="26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0" t="s">
        <v>37</v>
      </c>
      <c r="B27" s="21">
        <v>15000.0</v>
      </c>
      <c r="C27" s="21" t="s">
        <v>9</v>
      </c>
      <c r="D27" s="22" t="s">
        <v>12</v>
      </c>
      <c r="E27" s="23">
        <v>25000.0</v>
      </c>
      <c r="F27" s="22" t="s">
        <v>12</v>
      </c>
      <c r="G27" s="22" t="s">
        <v>9</v>
      </c>
      <c r="H27" s="23">
        <v>25000.0</v>
      </c>
      <c r="I27" s="22" t="s">
        <v>12</v>
      </c>
      <c r="J27" s="22" t="s">
        <v>9</v>
      </c>
      <c r="K27" s="23">
        <v>15000.0</v>
      </c>
      <c r="L27" s="29"/>
      <c r="M27" s="29"/>
      <c r="N27" s="24"/>
      <c r="O27" s="29"/>
      <c r="P27" s="24">
        <f t="shared" si="3"/>
        <v>0</v>
      </c>
      <c r="Q27" s="25" t="str">
        <f t="shared" si="2"/>
        <v>Paid</v>
      </c>
      <c r="R27" s="26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10" t="s">
        <v>38</v>
      </c>
      <c r="B28" s="11">
        <v>15000.0</v>
      </c>
      <c r="C28" s="11" t="s">
        <v>9</v>
      </c>
      <c r="D28" s="12" t="s">
        <v>12</v>
      </c>
      <c r="E28" s="15">
        <v>20000.0</v>
      </c>
      <c r="F28" s="12" t="s">
        <v>12</v>
      </c>
      <c r="G28" s="12" t="s">
        <v>9</v>
      </c>
      <c r="H28" s="15">
        <v>20000.0</v>
      </c>
      <c r="I28" s="12" t="s">
        <v>12</v>
      </c>
      <c r="J28" s="12" t="s">
        <v>9</v>
      </c>
      <c r="K28" s="15">
        <v>15000.0</v>
      </c>
      <c r="L28" s="14"/>
      <c r="M28" s="14"/>
      <c r="N28" s="16"/>
      <c r="O28" s="14"/>
      <c r="P28" s="16">
        <f t="shared" si="3"/>
        <v>10000</v>
      </c>
      <c r="Q28" s="17" t="str">
        <f t="shared" si="2"/>
        <v>Pending</v>
      </c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20" t="s">
        <v>39</v>
      </c>
      <c r="B29" s="21">
        <v>15000.0</v>
      </c>
      <c r="C29" s="21" t="s">
        <v>9</v>
      </c>
      <c r="D29" s="22" t="s">
        <v>12</v>
      </c>
      <c r="E29" s="23">
        <v>20000.0</v>
      </c>
      <c r="F29" s="22" t="s">
        <v>12</v>
      </c>
      <c r="G29" s="22" t="s">
        <v>9</v>
      </c>
      <c r="H29" s="23">
        <v>30000.0</v>
      </c>
      <c r="I29" s="22" t="s">
        <v>12</v>
      </c>
      <c r="J29" s="22" t="s">
        <v>9</v>
      </c>
      <c r="K29" s="23">
        <v>15000.0</v>
      </c>
      <c r="L29" s="22" t="s">
        <v>12</v>
      </c>
      <c r="M29" s="22" t="s">
        <v>18</v>
      </c>
      <c r="N29" s="24"/>
      <c r="O29" s="22"/>
      <c r="P29" s="24">
        <f t="shared" si="3"/>
        <v>0</v>
      </c>
      <c r="Q29" s="25" t="str">
        <f t="shared" si="2"/>
        <v>Paid</v>
      </c>
      <c r="R29" s="26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0" t="s">
        <v>40</v>
      </c>
      <c r="B30" s="21">
        <v>15000.0</v>
      </c>
      <c r="C30" s="21" t="s">
        <v>9</v>
      </c>
      <c r="D30" s="22" t="s">
        <v>12</v>
      </c>
      <c r="E30" s="23">
        <v>20000.0</v>
      </c>
      <c r="F30" s="22" t="s">
        <v>12</v>
      </c>
      <c r="G30" s="22" t="s">
        <v>9</v>
      </c>
      <c r="H30" s="23">
        <v>15000.0</v>
      </c>
      <c r="I30" s="22" t="s">
        <v>12</v>
      </c>
      <c r="J30" s="22" t="s">
        <v>9</v>
      </c>
      <c r="K30" s="23">
        <v>30000.0</v>
      </c>
      <c r="L30" s="22" t="s">
        <v>12</v>
      </c>
      <c r="M30" s="22" t="s">
        <v>18</v>
      </c>
      <c r="N30" s="24"/>
      <c r="O30" s="22"/>
      <c r="P30" s="24">
        <f t="shared" si="3"/>
        <v>0</v>
      </c>
      <c r="Q30" s="25" t="str">
        <f t="shared" si="2"/>
        <v>Paid</v>
      </c>
      <c r="R30" s="26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3" t="s">
        <v>41</v>
      </c>
      <c r="B31" s="4">
        <v>15000.0</v>
      </c>
      <c r="C31" s="4" t="s">
        <v>9</v>
      </c>
      <c r="D31" s="5" t="s">
        <v>12</v>
      </c>
      <c r="E31" s="6">
        <v>25000.0</v>
      </c>
      <c r="F31" s="5" t="s">
        <v>12</v>
      </c>
      <c r="G31" s="5" t="s">
        <v>9</v>
      </c>
      <c r="H31" s="7"/>
      <c r="I31" s="7"/>
      <c r="J31" s="7"/>
      <c r="K31" s="7"/>
      <c r="L31" s="7"/>
      <c r="M31" s="7"/>
      <c r="N31" s="8"/>
      <c r="O31" s="7"/>
      <c r="P31" s="8">
        <f t="shared" si="3"/>
        <v>40000</v>
      </c>
      <c r="Q31" s="9" t="str">
        <f t="shared" si="2"/>
        <v>Pending</v>
      </c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0" t="s">
        <v>42</v>
      </c>
      <c r="B32" s="21">
        <v>15000.0</v>
      </c>
      <c r="C32" s="21" t="s">
        <v>9</v>
      </c>
      <c r="D32" s="22" t="s">
        <v>12</v>
      </c>
      <c r="E32" s="23">
        <v>20000.0</v>
      </c>
      <c r="F32" s="22" t="s">
        <v>12</v>
      </c>
      <c r="G32" s="22" t="s">
        <v>9</v>
      </c>
      <c r="H32" s="23">
        <v>20000.0</v>
      </c>
      <c r="I32" s="22" t="s">
        <v>12</v>
      </c>
      <c r="J32" s="22" t="s">
        <v>9</v>
      </c>
      <c r="K32" s="23">
        <v>25000.0</v>
      </c>
      <c r="L32" s="22" t="s">
        <v>12</v>
      </c>
      <c r="M32" s="22" t="s">
        <v>9</v>
      </c>
      <c r="N32" s="24"/>
      <c r="O32" s="22"/>
      <c r="P32" s="24">
        <f t="shared" si="3"/>
        <v>0</v>
      </c>
      <c r="Q32" s="25" t="str">
        <f t="shared" si="2"/>
        <v>Paid</v>
      </c>
      <c r="R32" s="26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10" t="s">
        <v>43</v>
      </c>
      <c r="B33" s="11">
        <v>15000.0</v>
      </c>
      <c r="C33" s="11" t="s">
        <v>9</v>
      </c>
      <c r="D33" s="12" t="s">
        <v>12</v>
      </c>
      <c r="E33" s="14"/>
      <c r="F33" s="14"/>
      <c r="G33" s="14"/>
      <c r="H33" s="14"/>
      <c r="I33" s="14"/>
      <c r="J33" s="14"/>
      <c r="K33" s="14"/>
      <c r="L33" s="14"/>
      <c r="M33" s="14"/>
      <c r="N33" s="16"/>
      <c r="O33" s="14"/>
      <c r="P33" s="16">
        <f t="shared" si="3"/>
        <v>65000</v>
      </c>
      <c r="Q33" s="17" t="str">
        <f t="shared" si="2"/>
        <v>Pending</v>
      </c>
      <c r="R33" s="18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10" t="s">
        <v>44</v>
      </c>
      <c r="B34" s="11">
        <v>15000.0</v>
      </c>
      <c r="C34" s="11" t="s">
        <v>9</v>
      </c>
      <c r="D34" s="12" t="s">
        <v>12</v>
      </c>
      <c r="E34" s="15">
        <v>20000.0</v>
      </c>
      <c r="F34" s="12" t="s">
        <v>12</v>
      </c>
      <c r="G34" s="12" t="s">
        <v>9</v>
      </c>
      <c r="H34" s="15">
        <v>20000.0</v>
      </c>
      <c r="I34" s="12" t="s">
        <v>12</v>
      </c>
      <c r="J34" s="12" t="s">
        <v>9</v>
      </c>
      <c r="K34" s="15">
        <v>10000.0</v>
      </c>
      <c r="L34" s="12" t="s">
        <v>12</v>
      </c>
      <c r="M34" s="12" t="s">
        <v>9</v>
      </c>
      <c r="N34" s="16"/>
      <c r="O34" s="12"/>
      <c r="P34" s="16">
        <f t="shared" si="3"/>
        <v>15000</v>
      </c>
      <c r="Q34" s="17" t="str">
        <f t="shared" si="2"/>
        <v>Pending</v>
      </c>
      <c r="R34" s="18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3" t="s">
        <v>45</v>
      </c>
      <c r="B35" s="9"/>
      <c r="C35" s="9"/>
      <c r="D35" s="7"/>
      <c r="E35" s="6">
        <v>20000.0</v>
      </c>
      <c r="F35" s="5" t="s">
        <v>12</v>
      </c>
      <c r="G35" s="5" t="s">
        <v>9</v>
      </c>
      <c r="H35" s="6">
        <v>10000.0</v>
      </c>
      <c r="I35" s="5" t="s">
        <v>12</v>
      </c>
      <c r="J35" s="5" t="s">
        <v>9</v>
      </c>
      <c r="K35" s="6">
        <v>34000.0</v>
      </c>
      <c r="L35" s="5" t="s">
        <v>12</v>
      </c>
      <c r="M35" s="5" t="s">
        <v>18</v>
      </c>
      <c r="N35" s="8"/>
      <c r="O35" s="5"/>
      <c r="P35" s="8">
        <f t="shared" si="3"/>
        <v>1000</v>
      </c>
      <c r="Q35" s="9" t="str">
        <f t="shared" si="2"/>
        <v>Pending</v>
      </c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0" t="s">
        <v>46</v>
      </c>
      <c r="B36" s="21">
        <v>15000.0</v>
      </c>
      <c r="C36" s="21" t="s">
        <v>9</v>
      </c>
      <c r="D36" s="22" t="s">
        <v>12</v>
      </c>
      <c r="E36" s="23">
        <v>25000.0</v>
      </c>
      <c r="F36" s="22" t="s">
        <v>12</v>
      </c>
      <c r="G36" s="22" t="s">
        <v>9</v>
      </c>
      <c r="H36" s="23">
        <v>25000.0</v>
      </c>
      <c r="I36" s="22" t="s">
        <v>12</v>
      </c>
      <c r="J36" s="22" t="s">
        <v>9</v>
      </c>
      <c r="K36" s="23">
        <v>15000.0</v>
      </c>
      <c r="L36" s="22" t="s">
        <v>12</v>
      </c>
      <c r="M36" s="22" t="s">
        <v>18</v>
      </c>
      <c r="N36" s="24"/>
      <c r="O36" s="22"/>
      <c r="P36" s="24">
        <f t="shared" si="3"/>
        <v>0</v>
      </c>
      <c r="Q36" s="25" t="str">
        <f t="shared" si="2"/>
        <v>Paid</v>
      </c>
      <c r="R36" s="26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0" t="s">
        <v>47</v>
      </c>
      <c r="B37" s="21">
        <v>15000.0</v>
      </c>
      <c r="C37" s="21" t="s">
        <v>9</v>
      </c>
      <c r="D37" s="22" t="s">
        <v>12</v>
      </c>
      <c r="E37" s="23">
        <v>25000.0</v>
      </c>
      <c r="F37" s="22" t="s">
        <v>12</v>
      </c>
      <c r="G37" s="22" t="s">
        <v>9</v>
      </c>
      <c r="H37" s="23">
        <v>20000.0</v>
      </c>
      <c r="I37" s="22" t="s">
        <v>12</v>
      </c>
      <c r="J37" s="22" t="s">
        <v>9</v>
      </c>
      <c r="K37" s="23">
        <v>20000.0</v>
      </c>
      <c r="L37" s="22" t="s">
        <v>12</v>
      </c>
      <c r="M37" s="22" t="s">
        <v>9</v>
      </c>
      <c r="N37" s="24"/>
      <c r="O37" s="22"/>
      <c r="P37" s="24">
        <f t="shared" si="3"/>
        <v>0</v>
      </c>
      <c r="Q37" s="25" t="str">
        <f t="shared" si="2"/>
        <v>Paid</v>
      </c>
      <c r="R37" s="26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0" t="s">
        <v>48</v>
      </c>
      <c r="B38" s="21">
        <v>15000.0</v>
      </c>
      <c r="C38" s="21" t="s">
        <v>9</v>
      </c>
      <c r="D38" s="22" t="s">
        <v>12</v>
      </c>
      <c r="E38" s="23">
        <v>15000.0</v>
      </c>
      <c r="F38" s="22" t="s">
        <v>12</v>
      </c>
      <c r="G38" s="22" t="s">
        <v>9</v>
      </c>
      <c r="H38" s="23">
        <v>30000.0</v>
      </c>
      <c r="I38" s="22" t="s">
        <v>12</v>
      </c>
      <c r="J38" s="22" t="s">
        <v>9</v>
      </c>
      <c r="K38" s="23">
        <v>20000.0</v>
      </c>
      <c r="L38" s="22" t="s">
        <v>12</v>
      </c>
      <c r="M38" s="22" t="s">
        <v>9</v>
      </c>
      <c r="N38" s="24"/>
      <c r="O38" s="22"/>
      <c r="P38" s="24">
        <f t="shared" si="3"/>
        <v>0</v>
      </c>
      <c r="Q38" s="25" t="str">
        <f t="shared" si="2"/>
        <v>Paid</v>
      </c>
      <c r="R38" s="26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10" t="s">
        <v>49</v>
      </c>
      <c r="B39" s="11">
        <v>15000.0</v>
      </c>
      <c r="C39" s="11" t="s">
        <v>9</v>
      </c>
      <c r="D39" s="12" t="s">
        <v>12</v>
      </c>
      <c r="E39" s="15">
        <v>15000.0</v>
      </c>
      <c r="F39" s="12" t="s">
        <v>12</v>
      </c>
      <c r="G39" s="12" t="s">
        <v>9</v>
      </c>
      <c r="H39" s="15">
        <v>40000.0</v>
      </c>
      <c r="I39" s="12" t="s">
        <v>12</v>
      </c>
      <c r="J39" s="12" t="s">
        <v>9</v>
      </c>
      <c r="K39" s="14"/>
      <c r="L39" s="14"/>
      <c r="M39" s="14"/>
      <c r="N39" s="16"/>
      <c r="O39" s="14"/>
      <c r="P39" s="16">
        <f t="shared" si="3"/>
        <v>10000</v>
      </c>
      <c r="Q39" s="17" t="str">
        <f t="shared" si="2"/>
        <v>Pending</v>
      </c>
      <c r="R39" s="18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>
      <c r="A40" s="20" t="s">
        <v>50</v>
      </c>
      <c r="B40" s="21">
        <v>15000.0</v>
      </c>
      <c r="C40" s="21" t="s">
        <v>9</v>
      </c>
      <c r="D40" s="22" t="s">
        <v>12</v>
      </c>
      <c r="E40" s="23">
        <v>20000.0</v>
      </c>
      <c r="F40" s="22" t="s">
        <v>12</v>
      </c>
      <c r="G40" s="22" t="s">
        <v>9</v>
      </c>
      <c r="H40" s="23">
        <v>30000.0</v>
      </c>
      <c r="I40" s="22" t="s">
        <v>12</v>
      </c>
      <c r="J40" s="22" t="s">
        <v>9</v>
      </c>
      <c r="K40" s="23">
        <v>15000.0</v>
      </c>
      <c r="L40" s="22" t="s">
        <v>12</v>
      </c>
      <c r="M40" s="22" t="s">
        <v>18</v>
      </c>
      <c r="N40" s="24"/>
      <c r="O40" s="22"/>
      <c r="P40" s="24">
        <f t="shared" si="3"/>
        <v>0</v>
      </c>
      <c r="Q40" s="25" t="str">
        <f t="shared" si="2"/>
        <v>Paid</v>
      </c>
      <c r="R40" s="26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0" t="s">
        <v>51</v>
      </c>
      <c r="B41" s="21">
        <v>15000.0</v>
      </c>
      <c r="C41" s="21" t="s">
        <v>9</v>
      </c>
      <c r="D41" s="22" t="s">
        <v>12</v>
      </c>
      <c r="E41" s="23">
        <v>20000.0</v>
      </c>
      <c r="F41" s="22" t="s">
        <v>12</v>
      </c>
      <c r="G41" s="22" t="s">
        <v>9</v>
      </c>
      <c r="H41" s="23">
        <v>20000.0</v>
      </c>
      <c r="I41" s="22" t="s">
        <v>12</v>
      </c>
      <c r="J41" s="22" t="s">
        <v>9</v>
      </c>
      <c r="K41" s="23">
        <v>25000.0</v>
      </c>
      <c r="L41" s="22" t="s">
        <v>10</v>
      </c>
      <c r="M41" s="22" t="s">
        <v>9</v>
      </c>
      <c r="N41" s="24"/>
      <c r="O41" s="22"/>
      <c r="P41" s="24">
        <f t="shared" si="3"/>
        <v>0</v>
      </c>
      <c r="Q41" s="25" t="str">
        <f t="shared" si="2"/>
        <v>Paid</v>
      </c>
      <c r="R41" s="26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0" t="s">
        <v>52</v>
      </c>
      <c r="B42" s="21">
        <v>15000.0</v>
      </c>
      <c r="C42" s="21" t="s">
        <v>9</v>
      </c>
      <c r="D42" s="22" t="s">
        <v>12</v>
      </c>
      <c r="E42" s="23">
        <v>20000.0</v>
      </c>
      <c r="F42" s="22" t="s">
        <v>10</v>
      </c>
      <c r="G42" s="22" t="s">
        <v>9</v>
      </c>
      <c r="H42" s="23">
        <v>20000.0</v>
      </c>
      <c r="I42" s="22" t="s">
        <v>12</v>
      </c>
      <c r="J42" s="22" t="s">
        <v>9</v>
      </c>
      <c r="K42" s="23">
        <v>25000.0</v>
      </c>
      <c r="L42" s="22" t="s">
        <v>12</v>
      </c>
      <c r="M42" s="22" t="s">
        <v>9</v>
      </c>
      <c r="N42" s="24"/>
      <c r="O42" s="22"/>
      <c r="P42" s="24">
        <f t="shared" si="3"/>
        <v>0</v>
      </c>
      <c r="Q42" s="25" t="str">
        <f t="shared" si="2"/>
        <v>Paid</v>
      </c>
      <c r="R42" s="26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10" t="s">
        <v>53</v>
      </c>
      <c r="B43" s="17"/>
      <c r="C43" s="17"/>
      <c r="D43" s="14"/>
      <c r="E43" s="15">
        <v>20000.0</v>
      </c>
      <c r="F43" s="12" t="s">
        <v>12</v>
      </c>
      <c r="G43" s="12" t="s">
        <v>9</v>
      </c>
      <c r="H43" s="15">
        <v>25000.0</v>
      </c>
      <c r="I43" s="12" t="s">
        <v>12</v>
      </c>
      <c r="J43" s="12" t="s">
        <v>9</v>
      </c>
      <c r="K43" s="14"/>
      <c r="L43" s="14"/>
      <c r="M43" s="14"/>
      <c r="N43" s="16"/>
      <c r="O43" s="14"/>
      <c r="P43" s="16">
        <f t="shared" si="3"/>
        <v>20000</v>
      </c>
      <c r="Q43" s="17" t="str">
        <f t="shared" si="2"/>
        <v>Pending</v>
      </c>
      <c r="R43" s="18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20" t="s">
        <v>54</v>
      </c>
      <c r="B44" s="21">
        <v>15000.0</v>
      </c>
      <c r="C44" s="21" t="s">
        <v>9</v>
      </c>
      <c r="D44" s="22" t="s">
        <v>12</v>
      </c>
      <c r="E44" s="23">
        <v>20000.0</v>
      </c>
      <c r="F44" s="22" t="s">
        <v>10</v>
      </c>
      <c r="G44" s="22" t="s">
        <v>9</v>
      </c>
      <c r="H44" s="23">
        <v>20000.0</v>
      </c>
      <c r="I44" s="22" t="s">
        <v>10</v>
      </c>
      <c r="J44" s="22" t="s">
        <v>9</v>
      </c>
      <c r="K44" s="23">
        <v>25000.0</v>
      </c>
      <c r="L44" s="22" t="s">
        <v>12</v>
      </c>
      <c r="M44" s="22" t="s">
        <v>9</v>
      </c>
      <c r="N44" s="24"/>
      <c r="O44" s="22"/>
      <c r="P44" s="24">
        <f t="shared" si="3"/>
        <v>0</v>
      </c>
      <c r="Q44" s="25" t="str">
        <f t="shared" si="2"/>
        <v>Paid</v>
      </c>
      <c r="R44" s="26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10" t="s">
        <v>55</v>
      </c>
      <c r="B45" s="11">
        <v>15000.0</v>
      </c>
      <c r="C45" s="11" t="s">
        <v>9</v>
      </c>
      <c r="D45" s="12" t="s">
        <v>12</v>
      </c>
      <c r="E45" s="15">
        <v>20000.0</v>
      </c>
      <c r="F45" s="12" t="s">
        <v>12</v>
      </c>
      <c r="G45" s="12" t="s">
        <v>9</v>
      </c>
      <c r="H45" s="15">
        <v>20000.0</v>
      </c>
      <c r="I45" s="12" t="s">
        <v>12</v>
      </c>
      <c r="J45" s="12" t="s">
        <v>9</v>
      </c>
      <c r="K45" s="15">
        <v>25000.0</v>
      </c>
      <c r="L45" s="12" t="s">
        <v>12</v>
      </c>
      <c r="M45" s="14"/>
      <c r="N45" s="16"/>
      <c r="O45" s="14"/>
      <c r="P45" s="16">
        <f t="shared" si="3"/>
        <v>0</v>
      </c>
      <c r="Q45" s="17" t="str">
        <f t="shared" si="2"/>
        <v>Paid</v>
      </c>
      <c r="R45" s="18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3" t="s">
        <v>56</v>
      </c>
      <c r="B46" s="9"/>
      <c r="C46" s="9"/>
      <c r="D46" s="7"/>
      <c r="E46" s="6">
        <v>25000.0</v>
      </c>
      <c r="F46" s="5" t="s">
        <v>12</v>
      </c>
      <c r="G46" s="5" t="s">
        <v>9</v>
      </c>
      <c r="H46" s="6">
        <v>20000.0</v>
      </c>
      <c r="I46" s="5" t="s">
        <v>12</v>
      </c>
      <c r="J46" s="5" t="s">
        <v>9</v>
      </c>
      <c r="K46" s="6">
        <v>10000.0</v>
      </c>
      <c r="L46" s="5" t="s">
        <v>10</v>
      </c>
      <c r="M46" s="5" t="s">
        <v>9</v>
      </c>
      <c r="N46" s="8"/>
      <c r="O46" s="5"/>
      <c r="P46" s="8">
        <f t="shared" si="3"/>
        <v>10000</v>
      </c>
      <c r="Q46" s="9" t="str">
        <f t="shared" si="2"/>
        <v>Pending</v>
      </c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1" t="s">
        <v>57</v>
      </c>
      <c r="B47" s="32">
        <v>15000.0</v>
      </c>
      <c r="C47" s="32" t="s">
        <v>9</v>
      </c>
      <c r="D47" s="33" t="s">
        <v>12</v>
      </c>
      <c r="E47" s="34">
        <v>25000.0</v>
      </c>
      <c r="F47" s="33" t="s">
        <v>12</v>
      </c>
      <c r="G47" s="33" t="s">
        <v>9</v>
      </c>
      <c r="H47" s="34">
        <v>25000.0</v>
      </c>
      <c r="I47" s="33" t="s">
        <v>10</v>
      </c>
      <c r="J47" s="33" t="s">
        <v>9</v>
      </c>
      <c r="K47" s="34">
        <v>10000.0</v>
      </c>
      <c r="L47" s="33" t="s">
        <v>12</v>
      </c>
      <c r="M47" s="33" t="s">
        <v>9</v>
      </c>
      <c r="N47" s="35"/>
      <c r="O47" s="33"/>
      <c r="P47" s="35">
        <f t="shared" si="3"/>
        <v>5000</v>
      </c>
      <c r="Q47" s="36" t="str">
        <f t="shared" si="2"/>
        <v>Pending</v>
      </c>
      <c r="R47" s="37" t="s">
        <v>58</v>
      </c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>
      <c r="A48" s="3" t="s">
        <v>59</v>
      </c>
      <c r="B48" s="4">
        <v>15000.0</v>
      </c>
      <c r="C48" s="4" t="s">
        <v>9</v>
      </c>
      <c r="D48" s="5" t="s">
        <v>10</v>
      </c>
      <c r="E48" s="6">
        <v>20000.0</v>
      </c>
      <c r="F48" s="5" t="s">
        <v>12</v>
      </c>
      <c r="G48" s="5" t="s">
        <v>9</v>
      </c>
      <c r="H48" s="6">
        <v>20000.0</v>
      </c>
      <c r="I48" s="5" t="s">
        <v>10</v>
      </c>
      <c r="J48" s="5" t="s">
        <v>9</v>
      </c>
      <c r="K48" s="6">
        <v>20000.0</v>
      </c>
      <c r="L48" s="5" t="s">
        <v>12</v>
      </c>
      <c r="M48" s="5" t="s">
        <v>18</v>
      </c>
      <c r="N48" s="8"/>
      <c r="O48" s="5"/>
      <c r="P48" s="8">
        <f t="shared" si="3"/>
        <v>5000</v>
      </c>
      <c r="Q48" s="9" t="str">
        <f t="shared" si="2"/>
        <v>Pending</v>
      </c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 t="s">
        <v>60</v>
      </c>
      <c r="B49" s="9"/>
      <c r="C49" s="9"/>
      <c r="D49" s="7"/>
      <c r="E49" s="6">
        <v>30000.0</v>
      </c>
      <c r="F49" s="5" t="s">
        <v>10</v>
      </c>
      <c r="G49" s="5" t="s">
        <v>9</v>
      </c>
      <c r="H49" s="7"/>
      <c r="I49" s="7"/>
      <c r="J49" s="7"/>
      <c r="K49" s="7"/>
      <c r="L49" s="7"/>
      <c r="M49" s="7"/>
      <c r="N49" s="8"/>
      <c r="O49" s="7"/>
      <c r="P49" s="8">
        <f t="shared" si="3"/>
        <v>35000</v>
      </c>
      <c r="Q49" s="9" t="str">
        <f t="shared" si="2"/>
        <v>Pending</v>
      </c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 t="s">
        <v>61</v>
      </c>
      <c r="B50" s="4">
        <v>15000.0</v>
      </c>
      <c r="C50" s="4" t="s">
        <v>9</v>
      </c>
      <c r="D50" s="5" t="s">
        <v>12</v>
      </c>
      <c r="E50" s="6">
        <v>30000.0</v>
      </c>
      <c r="F50" s="5" t="s">
        <v>12</v>
      </c>
      <c r="G50" s="5" t="s">
        <v>9</v>
      </c>
      <c r="H50" s="6">
        <v>30000.0</v>
      </c>
      <c r="I50" s="5" t="s">
        <v>12</v>
      </c>
      <c r="J50" s="5" t="s">
        <v>9</v>
      </c>
      <c r="K50" s="7"/>
      <c r="L50" s="7"/>
      <c r="M50" s="7"/>
      <c r="N50" s="8"/>
      <c r="O50" s="7"/>
      <c r="P50" s="8">
        <f t="shared" si="3"/>
        <v>5000</v>
      </c>
      <c r="Q50" s="9" t="str">
        <f t="shared" si="2"/>
        <v>Pending</v>
      </c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 t="s">
        <v>62</v>
      </c>
      <c r="B51" s="4">
        <v>15000.0</v>
      </c>
      <c r="C51" s="4" t="s">
        <v>9</v>
      </c>
      <c r="D51" s="5" t="s">
        <v>12</v>
      </c>
      <c r="E51" s="6">
        <v>20000.0</v>
      </c>
      <c r="F51" s="5" t="s">
        <v>12</v>
      </c>
      <c r="G51" s="5" t="s">
        <v>9</v>
      </c>
      <c r="H51" s="6">
        <v>15000.0</v>
      </c>
      <c r="I51" s="5" t="s">
        <v>12</v>
      </c>
      <c r="J51" s="5" t="s">
        <v>9</v>
      </c>
      <c r="K51" s="6">
        <v>5000.0</v>
      </c>
      <c r="L51" s="5" t="s">
        <v>12</v>
      </c>
      <c r="M51" s="5" t="s">
        <v>9</v>
      </c>
      <c r="N51" s="8"/>
      <c r="O51" s="5"/>
      <c r="P51" s="8">
        <f t="shared" si="3"/>
        <v>25000</v>
      </c>
      <c r="Q51" s="9" t="str">
        <f t="shared" si="2"/>
        <v>Pending</v>
      </c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 t="s">
        <v>63</v>
      </c>
      <c r="B52" s="4">
        <v>15000.0</v>
      </c>
      <c r="C52" s="4" t="s">
        <v>9</v>
      </c>
      <c r="D52" s="5" t="s">
        <v>12</v>
      </c>
      <c r="E52" s="6">
        <v>15000.0</v>
      </c>
      <c r="F52" s="5" t="s">
        <v>12</v>
      </c>
      <c r="G52" s="5" t="s">
        <v>9</v>
      </c>
      <c r="H52" s="6">
        <v>15000.0</v>
      </c>
      <c r="I52" s="5" t="s">
        <v>12</v>
      </c>
      <c r="J52" s="7"/>
      <c r="K52" s="7"/>
      <c r="L52" s="7"/>
      <c r="M52" s="7"/>
      <c r="N52" s="8"/>
      <c r="O52" s="7"/>
      <c r="P52" s="8">
        <f t="shared" si="3"/>
        <v>35000</v>
      </c>
      <c r="Q52" s="9" t="str">
        <f t="shared" si="2"/>
        <v>Pending</v>
      </c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0" t="s">
        <v>64</v>
      </c>
      <c r="B53" s="21">
        <v>15000.0</v>
      </c>
      <c r="C53" s="21" t="s">
        <v>9</v>
      </c>
      <c r="D53" s="22" t="s">
        <v>12</v>
      </c>
      <c r="E53" s="23">
        <v>30000.0</v>
      </c>
      <c r="F53" s="22" t="s">
        <v>12</v>
      </c>
      <c r="G53" s="22" t="s">
        <v>9</v>
      </c>
      <c r="H53" s="23">
        <v>15000.0</v>
      </c>
      <c r="I53" s="22" t="s">
        <v>12</v>
      </c>
      <c r="J53" s="22" t="s">
        <v>9</v>
      </c>
      <c r="K53" s="23">
        <v>20000.0</v>
      </c>
      <c r="L53" s="22" t="s">
        <v>12</v>
      </c>
      <c r="M53" s="22" t="s">
        <v>9</v>
      </c>
      <c r="N53" s="24"/>
      <c r="O53" s="22"/>
      <c r="P53" s="24">
        <f t="shared" si="3"/>
        <v>0</v>
      </c>
      <c r="Q53" s="25" t="str">
        <f t="shared" si="2"/>
        <v>Paid</v>
      </c>
      <c r="R53" s="26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3" t="s">
        <v>65</v>
      </c>
      <c r="B54" s="4">
        <v>15000.0</v>
      </c>
      <c r="C54" s="4" t="s">
        <v>9</v>
      </c>
      <c r="D54" s="5" t="s">
        <v>12</v>
      </c>
      <c r="E54" s="6">
        <v>25000.0</v>
      </c>
      <c r="F54" s="5" t="s">
        <v>12</v>
      </c>
      <c r="G54" s="5" t="s">
        <v>9</v>
      </c>
      <c r="H54" s="6">
        <v>8000.0</v>
      </c>
      <c r="I54" s="5" t="s">
        <v>12</v>
      </c>
      <c r="J54" s="7"/>
      <c r="K54" s="7"/>
      <c r="L54" s="7"/>
      <c r="M54" s="7"/>
      <c r="N54" s="8"/>
      <c r="O54" s="7"/>
      <c r="P54" s="8">
        <f t="shared" si="3"/>
        <v>32000</v>
      </c>
      <c r="Q54" s="9" t="str">
        <f t="shared" si="2"/>
        <v>Pending</v>
      </c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 t="s">
        <v>66</v>
      </c>
      <c r="B55" s="4">
        <v>15000.0</v>
      </c>
      <c r="C55" s="4" t="s">
        <v>9</v>
      </c>
      <c r="D55" s="5" t="s">
        <v>12</v>
      </c>
      <c r="E55" s="6">
        <v>30000.0</v>
      </c>
      <c r="F55" s="5" t="s">
        <v>12</v>
      </c>
      <c r="G55" s="5" t="s">
        <v>9</v>
      </c>
      <c r="H55" s="7"/>
      <c r="I55" s="7"/>
      <c r="J55" s="7"/>
      <c r="K55" s="7"/>
      <c r="L55" s="7"/>
      <c r="M55" s="7"/>
      <c r="N55" s="8"/>
      <c r="O55" s="7"/>
      <c r="P55" s="8">
        <f t="shared" si="3"/>
        <v>35000</v>
      </c>
      <c r="Q55" s="9" t="str">
        <f t="shared" si="2"/>
        <v>Pending</v>
      </c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0" t="s">
        <v>67</v>
      </c>
      <c r="B56" s="21">
        <v>15000.0</v>
      </c>
      <c r="C56" s="21" t="s">
        <v>9</v>
      </c>
      <c r="D56" s="22" t="s">
        <v>12</v>
      </c>
      <c r="E56" s="23">
        <v>25000.0</v>
      </c>
      <c r="F56" s="22" t="s">
        <v>12</v>
      </c>
      <c r="G56" s="22" t="s">
        <v>9</v>
      </c>
      <c r="H56" s="23">
        <v>20000.0</v>
      </c>
      <c r="I56" s="22" t="s">
        <v>12</v>
      </c>
      <c r="J56" s="22" t="s">
        <v>9</v>
      </c>
      <c r="K56" s="23">
        <v>20000.0</v>
      </c>
      <c r="L56" s="22" t="s">
        <v>12</v>
      </c>
      <c r="M56" s="22" t="s">
        <v>9</v>
      </c>
      <c r="N56" s="24"/>
      <c r="O56" s="22"/>
      <c r="P56" s="24">
        <f t="shared" si="3"/>
        <v>0</v>
      </c>
      <c r="Q56" s="25" t="str">
        <f t="shared" si="2"/>
        <v>Paid</v>
      </c>
      <c r="R56" s="26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3" t="s">
        <v>68</v>
      </c>
      <c r="B57" s="4">
        <v>15000.0</v>
      </c>
      <c r="C57" s="4" t="s">
        <v>9</v>
      </c>
      <c r="D57" s="5" t="s">
        <v>12</v>
      </c>
      <c r="E57" s="6">
        <v>15000.0</v>
      </c>
      <c r="F57" s="5" t="s">
        <v>12</v>
      </c>
      <c r="G57" s="5" t="s">
        <v>9</v>
      </c>
      <c r="H57" s="7"/>
      <c r="I57" s="7"/>
      <c r="J57" s="7"/>
      <c r="K57" s="7"/>
      <c r="L57" s="7"/>
      <c r="M57" s="7"/>
      <c r="N57" s="8"/>
      <c r="O57" s="7"/>
      <c r="P57" s="8">
        <f t="shared" si="3"/>
        <v>50000</v>
      </c>
      <c r="Q57" s="9" t="str">
        <f t="shared" si="2"/>
        <v>Pending</v>
      </c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0" t="s">
        <v>69</v>
      </c>
      <c r="B58" s="25"/>
      <c r="C58" s="25"/>
      <c r="D58" s="29"/>
      <c r="E58" s="23">
        <v>20000.0</v>
      </c>
      <c r="F58" s="22" t="s">
        <v>12</v>
      </c>
      <c r="G58" s="22" t="s">
        <v>9</v>
      </c>
      <c r="H58" s="23">
        <v>30000.0</v>
      </c>
      <c r="I58" s="22" t="s">
        <v>12</v>
      </c>
      <c r="J58" s="22" t="s">
        <v>9</v>
      </c>
      <c r="K58" s="23">
        <v>15000.0</v>
      </c>
      <c r="L58" s="22" t="s">
        <v>12</v>
      </c>
      <c r="M58" s="22" t="s">
        <v>9</v>
      </c>
      <c r="N58" s="24"/>
      <c r="O58" s="22"/>
      <c r="P58" s="24">
        <f t="shared" si="3"/>
        <v>0</v>
      </c>
      <c r="Q58" s="25" t="str">
        <f t="shared" si="2"/>
        <v>Paid</v>
      </c>
      <c r="R58" s="26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3" t="s">
        <v>70</v>
      </c>
      <c r="B59" s="4">
        <v>15000.0</v>
      </c>
      <c r="C59" s="4" t="s">
        <v>9</v>
      </c>
      <c r="D59" s="5" t="s">
        <v>10</v>
      </c>
      <c r="E59" s="6">
        <v>15000.0</v>
      </c>
      <c r="F59" s="5" t="s">
        <v>10</v>
      </c>
      <c r="G59" s="5" t="s">
        <v>9</v>
      </c>
      <c r="H59" s="6">
        <v>20000.0</v>
      </c>
      <c r="I59" s="5" t="s">
        <v>10</v>
      </c>
      <c r="J59" s="5" t="s">
        <v>9</v>
      </c>
      <c r="K59" s="6">
        <v>10000.0</v>
      </c>
      <c r="L59" s="5" t="s">
        <v>12</v>
      </c>
      <c r="M59" s="5" t="s">
        <v>9</v>
      </c>
      <c r="N59" s="8"/>
      <c r="O59" s="5"/>
      <c r="P59" s="8">
        <f t="shared" si="3"/>
        <v>20000</v>
      </c>
      <c r="Q59" s="9" t="str">
        <f t="shared" si="2"/>
        <v>Pending</v>
      </c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0" t="s">
        <v>71</v>
      </c>
      <c r="B60" s="25"/>
      <c r="C60" s="25"/>
      <c r="D60" s="29"/>
      <c r="E60" s="23">
        <v>25000.0</v>
      </c>
      <c r="F60" s="22" t="s">
        <v>12</v>
      </c>
      <c r="G60" s="22" t="s">
        <v>9</v>
      </c>
      <c r="H60" s="23">
        <v>30000.0</v>
      </c>
      <c r="I60" s="22" t="s">
        <v>12</v>
      </c>
      <c r="J60" s="22" t="s">
        <v>9</v>
      </c>
      <c r="K60" s="23">
        <v>10000.0</v>
      </c>
      <c r="L60" s="22" t="s">
        <v>12</v>
      </c>
      <c r="M60" s="22" t="s">
        <v>9</v>
      </c>
      <c r="N60" s="24"/>
      <c r="O60" s="22"/>
      <c r="P60" s="24">
        <f t="shared" si="3"/>
        <v>0</v>
      </c>
      <c r="Q60" s="25" t="str">
        <f t="shared" si="2"/>
        <v>Paid</v>
      </c>
      <c r="R60" s="26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0" t="s">
        <v>72</v>
      </c>
      <c r="B61" s="21">
        <v>15000.0</v>
      </c>
      <c r="C61" s="21" t="s">
        <v>9</v>
      </c>
      <c r="D61" s="22" t="s">
        <v>12</v>
      </c>
      <c r="E61" s="23">
        <v>20000.0</v>
      </c>
      <c r="F61" s="22" t="s">
        <v>12</v>
      </c>
      <c r="G61" s="22" t="s">
        <v>9</v>
      </c>
      <c r="H61" s="23">
        <v>20000.0</v>
      </c>
      <c r="I61" s="22" t="s">
        <v>12</v>
      </c>
      <c r="J61" s="22" t="s">
        <v>9</v>
      </c>
      <c r="K61" s="23">
        <v>25000.0</v>
      </c>
      <c r="L61" s="22" t="s">
        <v>12</v>
      </c>
      <c r="M61" s="22" t="s">
        <v>9</v>
      </c>
      <c r="N61" s="24"/>
      <c r="O61" s="22"/>
      <c r="P61" s="24">
        <f t="shared" si="3"/>
        <v>0</v>
      </c>
      <c r="Q61" s="25" t="str">
        <f t="shared" si="2"/>
        <v>Paid</v>
      </c>
      <c r="R61" s="26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3" t="s">
        <v>73</v>
      </c>
      <c r="B62" s="4">
        <v>15000.0</v>
      </c>
      <c r="C62" s="4" t="s">
        <v>9</v>
      </c>
      <c r="D62" s="5" t="s">
        <v>12</v>
      </c>
      <c r="E62" s="6">
        <v>10000.0</v>
      </c>
      <c r="F62" s="5" t="s">
        <v>12</v>
      </c>
      <c r="G62" s="5" t="s">
        <v>9</v>
      </c>
      <c r="H62" s="7"/>
      <c r="I62" s="7"/>
      <c r="J62" s="7"/>
      <c r="K62" s="7"/>
      <c r="L62" s="7"/>
      <c r="M62" s="7"/>
      <c r="N62" s="8"/>
      <c r="O62" s="7"/>
      <c r="P62" s="8">
        <f t="shared" si="3"/>
        <v>55000</v>
      </c>
      <c r="Q62" s="9" t="str">
        <f t="shared" si="2"/>
        <v>Pending</v>
      </c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0" t="s">
        <v>74</v>
      </c>
      <c r="B63" s="21">
        <v>15000.0</v>
      </c>
      <c r="C63" s="21" t="s">
        <v>9</v>
      </c>
      <c r="D63" s="22" t="s">
        <v>12</v>
      </c>
      <c r="E63" s="23">
        <v>25000.0</v>
      </c>
      <c r="F63" s="22" t="s">
        <v>12</v>
      </c>
      <c r="G63" s="22" t="s">
        <v>9</v>
      </c>
      <c r="H63" s="23">
        <v>25000.0</v>
      </c>
      <c r="I63" s="22" t="s">
        <v>12</v>
      </c>
      <c r="J63" s="22" t="s">
        <v>9</v>
      </c>
      <c r="K63" s="23">
        <v>15000.0</v>
      </c>
      <c r="L63" s="22" t="s">
        <v>12</v>
      </c>
      <c r="M63" s="22" t="s">
        <v>9</v>
      </c>
      <c r="N63" s="24"/>
      <c r="O63" s="22"/>
      <c r="P63" s="24">
        <f t="shared" si="3"/>
        <v>0</v>
      </c>
      <c r="Q63" s="25" t="str">
        <f t="shared" si="2"/>
        <v>Paid</v>
      </c>
      <c r="R63" s="26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0" t="s">
        <v>75</v>
      </c>
      <c r="B64" s="21">
        <v>15000.0</v>
      </c>
      <c r="C64" s="21" t="s">
        <v>9</v>
      </c>
      <c r="D64" s="22" t="s">
        <v>12</v>
      </c>
      <c r="E64" s="23">
        <v>15000.0</v>
      </c>
      <c r="F64" s="22" t="s">
        <v>12</v>
      </c>
      <c r="G64" s="22" t="s">
        <v>9</v>
      </c>
      <c r="H64" s="23">
        <v>15000.0</v>
      </c>
      <c r="I64" s="22" t="s">
        <v>12</v>
      </c>
      <c r="J64" s="22" t="s">
        <v>9</v>
      </c>
      <c r="K64" s="23">
        <v>35000.0</v>
      </c>
      <c r="L64" s="22" t="s">
        <v>12</v>
      </c>
      <c r="M64" s="22" t="s">
        <v>9</v>
      </c>
      <c r="N64" s="24"/>
      <c r="O64" s="22"/>
      <c r="P64" s="24">
        <f t="shared" si="3"/>
        <v>0</v>
      </c>
      <c r="Q64" s="25" t="str">
        <f t="shared" si="2"/>
        <v>Paid</v>
      </c>
      <c r="R64" s="26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3" t="s">
        <v>76</v>
      </c>
      <c r="B65" s="4">
        <v>15000.0</v>
      </c>
      <c r="C65" s="4" t="s">
        <v>9</v>
      </c>
      <c r="D65" s="5" t="s">
        <v>12</v>
      </c>
      <c r="E65" s="7"/>
      <c r="F65" s="7"/>
      <c r="G65" s="7"/>
      <c r="H65" s="7"/>
      <c r="I65" s="7"/>
      <c r="J65" s="7"/>
      <c r="K65" s="7"/>
      <c r="L65" s="7"/>
      <c r="M65" s="7"/>
      <c r="N65" s="8"/>
      <c r="O65" s="7"/>
      <c r="P65" s="8">
        <f t="shared" si="3"/>
        <v>65000</v>
      </c>
      <c r="Q65" s="9" t="str">
        <f t="shared" si="2"/>
        <v>Pending</v>
      </c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0" t="s">
        <v>77</v>
      </c>
      <c r="B66" s="11">
        <v>15000.0</v>
      </c>
      <c r="C66" s="11" t="s">
        <v>9</v>
      </c>
      <c r="D66" s="12" t="s">
        <v>12</v>
      </c>
      <c r="E66" s="15">
        <v>30000.0</v>
      </c>
      <c r="F66" s="12" t="s">
        <v>10</v>
      </c>
      <c r="G66" s="12" t="s">
        <v>9</v>
      </c>
      <c r="H66" s="15">
        <v>10000.0</v>
      </c>
      <c r="I66" s="12" t="s">
        <v>12</v>
      </c>
      <c r="J66" s="12" t="s">
        <v>9</v>
      </c>
      <c r="K66" s="15">
        <v>30000.0</v>
      </c>
      <c r="L66" s="12" t="s">
        <v>12</v>
      </c>
      <c r="M66" s="12" t="s">
        <v>9</v>
      </c>
      <c r="N66" s="39"/>
      <c r="O66" s="12" t="s">
        <v>10</v>
      </c>
      <c r="P66" s="16">
        <f t="shared" si="3"/>
        <v>-5000</v>
      </c>
      <c r="Q66" s="17" t="str">
        <f t="shared" si="2"/>
        <v>Pending</v>
      </c>
      <c r="R66" s="18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20" t="s">
        <v>78</v>
      </c>
      <c r="B67" s="21">
        <v>15000.0</v>
      </c>
      <c r="C67" s="21" t="s">
        <v>9</v>
      </c>
      <c r="D67" s="22" t="s">
        <v>12</v>
      </c>
      <c r="E67" s="23">
        <v>25000.0</v>
      </c>
      <c r="F67" s="22" t="s">
        <v>12</v>
      </c>
      <c r="G67" s="22" t="s">
        <v>9</v>
      </c>
      <c r="H67" s="23">
        <v>40000.0</v>
      </c>
      <c r="I67" s="22" t="s">
        <v>12</v>
      </c>
      <c r="J67" s="22" t="s">
        <v>9</v>
      </c>
      <c r="K67" s="29"/>
      <c r="L67" s="29"/>
      <c r="M67" s="29"/>
      <c r="N67" s="24"/>
      <c r="O67" s="29"/>
      <c r="P67" s="24">
        <f t="shared" si="3"/>
        <v>0</v>
      </c>
      <c r="Q67" s="25" t="str">
        <f t="shared" si="2"/>
        <v>Paid</v>
      </c>
      <c r="R67" s="26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3" t="s">
        <v>79</v>
      </c>
      <c r="B68" s="4">
        <v>15000.0</v>
      </c>
      <c r="C68" s="4" t="s">
        <v>9</v>
      </c>
      <c r="D68" s="5" t="s">
        <v>10</v>
      </c>
      <c r="E68" s="6">
        <v>15000.0</v>
      </c>
      <c r="F68" s="5" t="s">
        <v>12</v>
      </c>
      <c r="G68" s="5" t="s">
        <v>9</v>
      </c>
      <c r="H68" s="7"/>
      <c r="I68" s="7"/>
      <c r="J68" s="7"/>
      <c r="K68" s="7"/>
      <c r="L68" s="7"/>
      <c r="M68" s="7"/>
      <c r="N68" s="8"/>
      <c r="O68" s="7"/>
      <c r="P68" s="8">
        <f t="shared" si="3"/>
        <v>50000</v>
      </c>
      <c r="Q68" s="9" t="str">
        <f t="shared" si="2"/>
        <v>Pending</v>
      </c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 t="s">
        <v>80</v>
      </c>
      <c r="B69" s="4">
        <v>15000.0</v>
      </c>
      <c r="C69" s="4" t="s">
        <v>9</v>
      </c>
      <c r="D69" s="5" t="s">
        <v>12</v>
      </c>
      <c r="E69" s="6">
        <v>20000.0</v>
      </c>
      <c r="F69" s="5" t="s">
        <v>12</v>
      </c>
      <c r="G69" s="5" t="s">
        <v>9</v>
      </c>
      <c r="H69" s="7"/>
      <c r="I69" s="7"/>
      <c r="J69" s="7"/>
      <c r="K69" s="6">
        <v>15000.0</v>
      </c>
      <c r="L69" s="5" t="s">
        <v>12</v>
      </c>
      <c r="M69" s="5" t="s">
        <v>18</v>
      </c>
      <c r="N69" s="8"/>
      <c r="O69" s="5"/>
      <c r="P69" s="8">
        <f t="shared" si="3"/>
        <v>30000</v>
      </c>
      <c r="Q69" s="9" t="str">
        <f t="shared" si="2"/>
        <v>Pending</v>
      </c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0" t="s">
        <v>81</v>
      </c>
      <c r="B70" s="11">
        <v>15000.0</v>
      </c>
      <c r="C70" s="11" t="s">
        <v>9</v>
      </c>
      <c r="D70" s="12" t="s">
        <v>12</v>
      </c>
      <c r="E70" s="15">
        <v>50000.0</v>
      </c>
      <c r="F70" s="12" t="s">
        <v>10</v>
      </c>
      <c r="G70" s="12" t="s">
        <v>18</v>
      </c>
      <c r="H70" s="14"/>
      <c r="I70" s="14"/>
      <c r="J70" s="14"/>
      <c r="K70" s="15">
        <v>15000.0</v>
      </c>
      <c r="L70" s="12" t="s">
        <v>10</v>
      </c>
      <c r="M70" s="12" t="s">
        <v>18</v>
      </c>
      <c r="N70" s="16"/>
      <c r="O70" s="14"/>
      <c r="P70" s="16">
        <f t="shared" si="3"/>
        <v>0</v>
      </c>
      <c r="Q70" s="17" t="str">
        <f t="shared" si="2"/>
        <v>Paid</v>
      </c>
      <c r="R70" s="18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20" t="s">
        <v>82</v>
      </c>
      <c r="B71" s="25"/>
      <c r="C71" s="25"/>
      <c r="D71" s="29"/>
      <c r="E71" s="23">
        <v>25000.0</v>
      </c>
      <c r="F71" s="22" t="s">
        <v>12</v>
      </c>
      <c r="G71" s="22" t="s">
        <v>9</v>
      </c>
      <c r="H71" s="23">
        <v>20000.0</v>
      </c>
      <c r="I71" s="22" t="s">
        <v>10</v>
      </c>
      <c r="J71" s="22" t="s">
        <v>9</v>
      </c>
      <c r="K71" s="23">
        <v>20000.0</v>
      </c>
      <c r="L71" s="22" t="s">
        <v>10</v>
      </c>
      <c r="M71" s="22" t="s">
        <v>9</v>
      </c>
      <c r="N71" s="24"/>
      <c r="O71" s="22"/>
      <c r="P71" s="24">
        <f t="shared" si="3"/>
        <v>0</v>
      </c>
      <c r="Q71" s="25" t="str">
        <f t="shared" si="2"/>
        <v>Paid</v>
      </c>
      <c r="R71" s="26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3" t="s">
        <v>83</v>
      </c>
      <c r="B72" s="4">
        <v>15000.0</v>
      </c>
      <c r="C72" s="4" t="s">
        <v>9</v>
      </c>
      <c r="D72" s="5" t="s">
        <v>10</v>
      </c>
      <c r="E72" s="30"/>
      <c r="F72" s="7"/>
      <c r="G72" s="7"/>
      <c r="H72" s="7"/>
      <c r="I72" s="7"/>
      <c r="J72" s="7"/>
      <c r="K72" s="7"/>
      <c r="L72" s="7"/>
      <c r="M72" s="7"/>
      <c r="N72" s="8"/>
      <c r="O72" s="7"/>
      <c r="P72" s="8">
        <f t="shared" si="3"/>
        <v>65000</v>
      </c>
      <c r="Q72" s="9" t="str">
        <f t="shared" si="2"/>
        <v>Pending</v>
      </c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 t="s">
        <v>84</v>
      </c>
      <c r="B73" s="4">
        <v>15000.0</v>
      </c>
      <c r="C73" s="4" t="s">
        <v>9</v>
      </c>
      <c r="D73" s="5" t="s">
        <v>12</v>
      </c>
      <c r="E73" s="6">
        <v>20000.0</v>
      </c>
      <c r="F73" s="5" t="s">
        <v>12</v>
      </c>
      <c r="G73" s="5" t="s">
        <v>9</v>
      </c>
      <c r="H73" s="7"/>
      <c r="I73" s="7"/>
      <c r="J73" s="7"/>
      <c r="K73" s="7"/>
      <c r="L73" s="7"/>
      <c r="M73" s="7"/>
      <c r="N73" s="8"/>
      <c r="O73" s="7"/>
      <c r="P73" s="8">
        <f t="shared" si="3"/>
        <v>45000</v>
      </c>
      <c r="Q73" s="9" t="str">
        <f t="shared" si="2"/>
        <v>Pending</v>
      </c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 t="s">
        <v>85</v>
      </c>
      <c r="B74" s="4">
        <v>15000.0</v>
      </c>
      <c r="C74" s="4" t="s">
        <v>9</v>
      </c>
      <c r="D74" s="5" t="s">
        <v>12</v>
      </c>
      <c r="E74" s="6">
        <v>15000.0</v>
      </c>
      <c r="F74" s="5" t="s">
        <v>12</v>
      </c>
      <c r="G74" s="5" t="s">
        <v>9</v>
      </c>
      <c r="H74" s="7"/>
      <c r="I74" s="7"/>
      <c r="J74" s="7"/>
      <c r="K74" s="6">
        <v>20000.0</v>
      </c>
      <c r="L74" s="5" t="s">
        <v>12</v>
      </c>
      <c r="M74" s="5" t="s">
        <v>9</v>
      </c>
      <c r="N74" s="8"/>
      <c r="O74" s="5"/>
      <c r="P74" s="8">
        <f t="shared" si="3"/>
        <v>30000</v>
      </c>
      <c r="Q74" s="9" t="str">
        <f t="shared" si="2"/>
        <v>Pending</v>
      </c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 t="s">
        <v>86</v>
      </c>
      <c r="B75" s="4">
        <v>15000.0</v>
      </c>
      <c r="C75" s="4" t="s">
        <v>9</v>
      </c>
      <c r="D75" s="5" t="s">
        <v>12</v>
      </c>
      <c r="E75" s="6">
        <v>20000.0</v>
      </c>
      <c r="F75" s="5" t="s">
        <v>12</v>
      </c>
      <c r="G75" s="5" t="s">
        <v>9</v>
      </c>
      <c r="H75" s="6">
        <v>20000.0</v>
      </c>
      <c r="I75" s="5" t="s">
        <v>12</v>
      </c>
      <c r="J75" s="5" t="s">
        <v>9</v>
      </c>
      <c r="K75" s="6">
        <v>15000.0</v>
      </c>
      <c r="L75" s="5" t="s">
        <v>12</v>
      </c>
      <c r="M75" s="5" t="s">
        <v>9</v>
      </c>
      <c r="N75" s="8"/>
      <c r="O75" s="5"/>
      <c r="P75" s="8">
        <f t="shared" si="3"/>
        <v>10000</v>
      </c>
      <c r="Q75" s="9" t="str">
        <f t="shared" si="2"/>
        <v>Pending</v>
      </c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 t="s">
        <v>87</v>
      </c>
      <c r="B76" s="4">
        <v>15000.0</v>
      </c>
      <c r="C76" s="4" t="s">
        <v>9</v>
      </c>
      <c r="D76" s="5" t="s">
        <v>12</v>
      </c>
      <c r="E76" s="7"/>
      <c r="F76" s="7"/>
      <c r="G76" s="7"/>
      <c r="H76" s="7"/>
      <c r="I76" s="7"/>
      <c r="J76" s="7"/>
      <c r="K76" s="7"/>
      <c r="L76" s="7"/>
      <c r="M76" s="7"/>
      <c r="N76" s="8"/>
      <c r="O76" s="7"/>
      <c r="P76" s="8">
        <f t="shared" si="3"/>
        <v>65000</v>
      </c>
      <c r="Q76" s="9" t="str">
        <f t="shared" si="2"/>
        <v>Pending</v>
      </c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 t="s">
        <v>88</v>
      </c>
      <c r="B77" s="4">
        <v>15000.0</v>
      </c>
      <c r="C77" s="4" t="s">
        <v>9</v>
      </c>
      <c r="D77" s="5" t="s">
        <v>12</v>
      </c>
      <c r="E77" s="30"/>
      <c r="F77" s="7"/>
      <c r="G77" s="7"/>
      <c r="H77" s="7"/>
      <c r="I77" s="7"/>
      <c r="J77" s="7"/>
      <c r="K77" s="7"/>
      <c r="L77" s="7"/>
      <c r="M77" s="7"/>
      <c r="N77" s="8"/>
      <c r="O77" s="7"/>
      <c r="P77" s="8">
        <f t="shared" si="3"/>
        <v>65000</v>
      </c>
      <c r="Q77" s="9" t="str">
        <f t="shared" si="2"/>
        <v>Pending</v>
      </c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0" t="s">
        <v>89</v>
      </c>
      <c r="B78" s="21">
        <v>15000.0</v>
      </c>
      <c r="C78" s="21" t="s">
        <v>9</v>
      </c>
      <c r="D78" s="22" t="s">
        <v>12</v>
      </c>
      <c r="E78" s="23">
        <v>20000.0</v>
      </c>
      <c r="F78" s="22" t="s">
        <v>12</v>
      </c>
      <c r="G78" s="22" t="s">
        <v>9</v>
      </c>
      <c r="H78" s="23">
        <v>20000.0</v>
      </c>
      <c r="I78" s="22" t="s">
        <v>12</v>
      </c>
      <c r="J78" s="22" t="s">
        <v>9</v>
      </c>
      <c r="K78" s="23">
        <v>25000.0</v>
      </c>
      <c r="L78" s="22" t="s">
        <v>12</v>
      </c>
      <c r="M78" s="22" t="s">
        <v>9</v>
      </c>
      <c r="N78" s="24"/>
      <c r="O78" s="22"/>
      <c r="P78" s="24">
        <f t="shared" si="3"/>
        <v>0</v>
      </c>
      <c r="Q78" s="25" t="str">
        <f t="shared" si="2"/>
        <v>Paid</v>
      </c>
      <c r="R78" s="26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3" t="s">
        <v>90</v>
      </c>
      <c r="B79" s="4">
        <v>15000.0</v>
      </c>
      <c r="C79" s="4" t="s">
        <v>9</v>
      </c>
      <c r="D79" s="5" t="s">
        <v>12</v>
      </c>
      <c r="E79" s="6">
        <v>25000.0</v>
      </c>
      <c r="F79" s="5" t="s">
        <v>12</v>
      </c>
      <c r="G79" s="5" t="s">
        <v>9</v>
      </c>
      <c r="H79" s="6">
        <v>10000.0</v>
      </c>
      <c r="I79" s="5" t="s">
        <v>12</v>
      </c>
      <c r="J79" s="5" t="s">
        <v>9</v>
      </c>
      <c r="K79" s="7"/>
      <c r="L79" s="7"/>
      <c r="M79" s="7"/>
      <c r="N79" s="8"/>
      <c r="O79" s="7"/>
      <c r="P79" s="8">
        <f t="shared" si="3"/>
        <v>30000</v>
      </c>
      <c r="Q79" s="9" t="str">
        <f t="shared" si="2"/>
        <v>Pending</v>
      </c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 t="s">
        <v>91</v>
      </c>
      <c r="B80" s="4">
        <v>15000.0</v>
      </c>
      <c r="C80" s="4" t="s">
        <v>9</v>
      </c>
      <c r="D80" s="5" t="s">
        <v>12</v>
      </c>
      <c r="E80" s="6">
        <v>25000.0</v>
      </c>
      <c r="F80" s="5" t="s">
        <v>12</v>
      </c>
      <c r="G80" s="5" t="s">
        <v>9</v>
      </c>
      <c r="H80" s="6">
        <v>25000.0</v>
      </c>
      <c r="I80" s="5" t="s">
        <v>12</v>
      </c>
      <c r="J80" s="5" t="s">
        <v>18</v>
      </c>
      <c r="K80" s="7"/>
      <c r="L80" s="7"/>
      <c r="M80" s="7"/>
      <c r="N80" s="8"/>
      <c r="O80" s="7"/>
      <c r="P80" s="8">
        <f t="shared" si="3"/>
        <v>15000</v>
      </c>
      <c r="Q80" s="9" t="str">
        <f t="shared" si="2"/>
        <v>Pending</v>
      </c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 t="s">
        <v>92</v>
      </c>
      <c r="B81" s="4">
        <v>15000.0</v>
      </c>
      <c r="C81" s="4" t="s">
        <v>9</v>
      </c>
      <c r="D81" s="5" t="s">
        <v>10</v>
      </c>
      <c r="E81" s="30"/>
      <c r="F81" s="7"/>
      <c r="G81" s="7"/>
      <c r="H81" s="7"/>
      <c r="I81" s="7"/>
      <c r="J81" s="7"/>
      <c r="K81" s="7"/>
      <c r="L81" s="7"/>
      <c r="M81" s="7"/>
      <c r="N81" s="8"/>
      <c r="O81" s="7"/>
      <c r="P81" s="8">
        <f t="shared" si="3"/>
        <v>65000</v>
      </c>
      <c r="Q81" s="9" t="str">
        <f t="shared" si="2"/>
        <v>Pending</v>
      </c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 t="s">
        <v>93</v>
      </c>
      <c r="B82" s="4">
        <v>15000.0</v>
      </c>
      <c r="C82" s="4" t="s">
        <v>9</v>
      </c>
      <c r="D82" s="5" t="s">
        <v>12</v>
      </c>
      <c r="E82" s="6">
        <v>15000.0</v>
      </c>
      <c r="F82" s="5" t="s">
        <v>12</v>
      </c>
      <c r="G82" s="5" t="s">
        <v>9</v>
      </c>
      <c r="H82" s="6">
        <v>15000.0</v>
      </c>
      <c r="I82" s="5" t="s">
        <v>12</v>
      </c>
      <c r="J82" s="7"/>
      <c r="K82" s="7"/>
      <c r="L82" s="7"/>
      <c r="M82" s="7"/>
      <c r="N82" s="8"/>
      <c r="O82" s="7"/>
      <c r="P82" s="8">
        <f t="shared" si="3"/>
        <v>35000</v>
      </c>
      <c r="Q82" s="9" t="str">
        <f t="shared" si="2"/>
        <v>Pending</v>
      </c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 t="s">
        <v>94</v>
      </c>
      <c r="B83" s="9"/>
      <c r="C83" s="9"/>
      <c r="D83" s="7"/>
      <c r="E83" s="30"/>
      <c r="F83" s="7"/>
      <c r="G83" s="7"/>
      <c r="H83" s="6">
        <v>15000.0</v>
      </c>
      <c r="I83" s="5" t="s">
        <v>12</v>
      </c>
      <c r="J83" s="5" t="s">
        <v>9</v>
      </c>
      <c r="K83" s="7"/>
      <c r="L83" s="7"/>
      <c r="M83" s="7"/>
      <c r="N83" s="8"/>
      <c r="O83" s="7"/>
      <c r="P83" s="8">
        <f t="shared" si="3"/>
        <v>50000</v>
      </c>
      <c r="Q83" s="9" t="str">
        <f t="shared" si="2"/>
        <v>Pending</v>
      </c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 t="s">
        <v>95</v>
      </c>
      <c r="B84" s="4">
        <v>15000.0</v>
      </c>
      <c r="C84" s="4" t="s">
        <v>9</v>
      </c>
      <c r="D84" s="5" t="s">
        <v>12</v>
      </c>
      <c r="E84" s="6">
        <v>15000.0</v>
      </c>
      <c r="F84" s="5" t="s">
        <v>12</v>
      </c>
      <c r="G84" s="5" t="s">
        <v>9</v>
      </c>
      <c r="H84" s="6">
        <v>30000.0</v>
      </c>
      <c r="I84" s="5" t="s">
        <v>10</v>
      </c>
      <c r="J84" s="5" t="s">
        <v>18</v>
      </c>
      <c r="K84" s="7"/>
      <c r="L84" s="7"/>
      <c r="M84" s="7"/>
      <c r="N84" s="8"/>
      <c r="O84" s="7"/>
      <c r="P84" s="8">
        <f t="shared" si="3"/>
        <v>20000</v>
      </c>
      <c r="Q84" s="9" t="str">
        <f t="shared" si="2"/>
        <v>Pending</v>
      </c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0" t="s">
        <v>96</v>
      </c>
      <c r="B85" s="21">
        <v>15000.0</v>
      </c>
      <c r="C85" s="21" t="s">
        <v>9</v>
      </c>
      <c r="D85" s="22" t="s">
        <v>12</v>
      </c>
      <c r="E85" s="23">
        <v>20000.0</v>
      </c>
      <c r="F85" s="22" t="s">
        <v>12</v>
      </c>
      <c r="G85" s="22" t="s">
        <v>9</v>
      </c>
      <c r="H85" s="23">
        <v>20000.0</v>
      </c>
      <c r="I85" s="22" t="s">
        <v>12</v>
      </c>
      <c r="J85" s="22" t="s">
        <v>9</v>
      </c>
      <c r="K85" s="23">
        <v>25000.0</v>
      </c>
      <c r="L85" s="22" t="s">
        <v>12</v>
      </c>
      <c r="M85" s="22" t="s">
        <v>9</v>
      </c>
      <c r="N85" s="24"/>
      <c r="O85" s="22"/>
      <c r="P85" s="24">
        <f t="shared" si="3"/>
        <v>0</v>
      </c>
      <c r="Q85" s="25" t="str">
        <f t="shared" si="2"/>
        <v>Paid</v>
      </c>
      <c r="R85" s="26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3" t="s">
        <v>97</v>
      </c>
      <c r="B86" s="4">
        <v>15000.0</v>
      </c>
      <c r="C86" s="4" t="s">
        <v>9</v>
      </c>
      <c r="D86" s="5" t="s">
        <v>12</v>
      </c>
      <c r="E86" s="6">
        <v>20000.0</v>
      </c>
      <c r="F86" s="5" t="s">
        <v>12</v>
      </c>
      <c r="G86" s="5" t="s">
        <v>9</v>
      </c>
      <c r="H86" s="7"/>
      <c r="I86" s="7"/>
      <c r="J86" s="7"/>
      <c r="K86" s="7"/>
      <c r="L86" s="7"/>
      <c r="M86" s="7"/>
      <c r="N86" s="8"/>
      <c r="O86" s="7"/>
      <c r="P86" s="8">
        <f t="shared" si="3"/>
        <v>45000</v>
      </c>
      <c r="Q86" s="9" t="str">
        <f t="shared" si="2"/>
        <v>Pending</v>
      </c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 t="s">
        <v>98</v>
      </c>
      <c r="B87" s="4">
        <v>15000.0</v>
      </c>
      <c r="C87" s="4" t="s">
        <v>9</v>
      </c>
      <c r="D87" s="5" t="s">
        <v>12</v>
      </c>
      <c r="E87" s="30"/>
      <c r="F87" s="7"/>
      <c r="G87" s="7"/>
      <c r="H87" s="6">
        <v>15000.0</v>
      </c>
      <c r="I87" s="5" t="s">
        <v>12</v>
      </c>
      <c r="J87" s="5" t="s">
        <v>18</v>
      </c>
      <c r="K87" s="7"/>
      <c r="L87" s="7"/>
      <c r="M87" s="7"/>
      <c r="N87" s="8"/>
      <c r="O87" s="7"/>
      <c r="P87" s="8">
        <f t="shared" si="3"/>
        <v>50000</v>
      </c>
      <c r="Q87" s="9" t="str">
        <f t="shared" si="2"/>
        <v>Pending</v>
      </c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 t="s">
        <v>99</v>
      </c>
      <c r="B88" s="4">
        <v>15000.0</v>
      </c>
      <c r="C88" s="4" t="s">
        <v>9</v>
      </c>
      <c r="D88" s="5" t="s">
        <v>12</v>
      </c>
      <c r="E88" s="6">
        <v>20000.0</v>
      </c>
      <c r="F88" s="5" t="s">
        <v>12</v>
      </c>
      <c r="G88" s="5" t="s">
        <v>9</v>
      </c>
      <c r="H88" s="7"/>
      <c r="I88" s="7"/>
      <c r="J88" s="7"/>
      <c r="K88" s="7"/>
      <c r="L88" s="7"/>
      <c r="M88" s="7"/>
      <c r="N88" s="8"/>
      <c r="O88" s="7"/>
      <c r="P88" s="8">
        <f t="shared" si="3"/>
        <v>45000</v>
      </c>
      <c r="Q88" s="9" t="str">
        <f t="shared" si="2"/>
        <v>Pending</v>
      </c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0" t="s">
        <v>100</v>
      </c>
      <c r="B89" s="21">
        <v>15000.0</v>
      </c>
      <c r="C89" s="21" t="s">
        <v>9</v>
      </c>
      <c r="D89" s="22" t="s">
        <v>12</v>
      </c>
      <c r="E89" s="23">
        <v>65000.0</v>
      </c>
      <c r="F89" s="22" t="s">
        <v>12</v>
      </c>
      <c r="G89" s="22" t="s">
        <v>9</v>
      </c>
      <c r="H89" s="29"/>
      <c r="I89" s="29"/>
      <c r="J89" s="29"/>
      <c r="K89" s="29"/>
      <c r="L89" s="29"/>
      <c r="M89" s="29"/>
      <c r="N89" s="24"/>
      <c r="O89" s="29"/>
      <c r="P89" s="24">
        <f t="shared" si="3"/>
        <v>0</v>
      </c>
      <c r="Q89" s="25" t="str">
        <f t="shared" si="2"/>
        <v>Paid</v>
      </c>
      <c r="R89" s="26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0" t="s">
        <v>101</v>
      </c>
      <c r="B90" s="21">
        <v>15000.0</v>
      </c>
      <c r="C90" s="21" t="s">
        <v>9</v>
      </c>
      <c r="D90" s="22" t="s">
        <v>12</v>
      </c>
      <c r="E90" s="23">
        <v>20000.0</v>
      </c>
      <c r="F90" s="22" t="s">
        <v>12</v>
      </c>
      <c r="G90" s="22" t="s">
        <v>9</v>
      </c>
      <c r="H90" s="23">
        <v>25000.0</v>
      </c>
      <c r="I90" s="22" t="s">
        <v>12</v>
      </c>
      <c r="J90" s="22" t="s">
        <v>9</v>
      </c>
      <c r="K90" s="23">
        <v>20000.0</v>
      </c>
      <c r="L90" s="22" t="s">
        <v>10</v>
      </c>
      <c r="M90" s="22" t="s">
        <v>9</v>
      </c>
      <c r="N90" s="24"/>
      <c r="O90" s="22"/>
      <c r="P90" s="24">
        <f t="shared" si="3"/>
        <v>0</v>
      </c>
      <c r="Q90" s="25" t="str">
        <f t="shared" si="2"/>
        <v>Paid</v>
      </c>
      <c r="R90" s="26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3" t="s">
        <v>102</v>
      </c>
      <c r="B91" s="4">
        <v>15000.0</v>
      </c>
      <c r="C91" s="4" t="s">
        <v>9</v>
      </c>
      <c r="D91" s="5" t="s">
        <v>10</v>
      </c>
      <c r="E91" s="30"/>
      <c r="F91" s="7"/>
      <c r="G91" s="7"/>
      <c r="H91" s="7"/>
      <c r="I91" s="7"/>
      <c r="J91" s="7"/>
      <c r="K91" s="7"/>
      <c r="L91" s="7"/>
      <c r="M91" s="7"/>
      <c r="N91" s="8"/>
      <c r="O91" s="7"/>
      <c r="P91" s="8">
        <f t="shared" si="3"/>
        <v>65000</v>
      </c>
      <c r="Q91" s="9" t="str">
        <f t="shared" si="2"/>
        <v>Pending</v>
      </c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0" t="s">
        <v>103</v>
      </c>
      <c r="B92" s="21">
        <v>15000.0</v>
      </c>
      <c r="C92" s="21" t="s">
        <v>9</v>
      </c>
      <c r="D92" s="22" t="s">
        <v>12</v>
      </c>
      <c r="E92" s="23">
        <v>20000.0</v>
      </c>
      <c r="F92" s="22" t="s">
        <v>12</v>
      </c>
      <c r="G92" s="22" t="s">
        <v>9</v>
      </c>
      <c r="H92" s="23">
        <v>20000.0</v>
      </c>
      <c r="I92" s="22" t="s">
        <v>12</v>
      </c>
      <c r="J92" s="22" t="s">
        <v>9</v>
      </c>
      <c r="K92" s="23">
        <v>25000.0</v>
      </c>
      <c r="L92" s="22" t="s">
        <v>12</v>
      </c>
      <c r="M92" s="22" t="s">
        <v>9</v>
      </c>
      <c r="N92" s="24"/>
      <c r="O92" s="22"/>
      <c r="P92" s="24">
        <f t="shared" si="3"/>
        <v>0</v>
      </c>
      <c r="Q92" s="25" t="str">
        <f t="shared" si="2"/>
        <v>Paid</v>
      </c>
      <c r="R92" s="26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0" t="s">
        <v>104</v>
      </c>
      <c r="B93" s="25"/>
      <c r="C93" s="25"/>
      <c r="D93" s="29"/>
      <c r="E93" s="23">
        <v>20000.0</v>
      </c>
      <c r="F93" s="22" t="s">
        <v>12</v>
      </c>
      <c r="G93" s="22" t="s">
        <v>9</v>
      </c>
      <c r="H93" s="23">
        <v>20000.0</v>
      </c>
      <c r="I93" s="22" t="s">
        <v>12</v>
      </c>
      <c r="J93" s="22" t="s">
        <v>9</v>
      </c>
      <c r="K93" s="23">
        <v>25000.0</v>
      </c>
      <c r="L93" s="22" t="s">
        <v>12</v>
      </c>
      <c r="M93" s="22" t="s">
        <v>9</v>
      </c>
      <c r="N93" s="24"/>
      <c r="O93" s="22"/>
      <c r="P93" s="24">
        <f t="shared" si="3"/>
        <v>0</v>
      </c>
      <c r="Q93" s="25" t="str">
        <f t="shared" si="2"/>
        <v>Paid</v>
      </c>
      <c r="R93" s="26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3" t="s">
        <v>105</v>
      </c>
      <c r="B94" s="4">
        <v>15000.0</v>
      </c>
      <c r="C94" s="4" t="s">
        <v>9</v>
      </c>
      <c r="D94" s="5" t="s">
        <v>12</v>
      </c>
      <c r="E94" s="7"/>
      <c r="F94" s="7"/>
      <c r="G94" s="7"/>
      <c r="H94" s="6">
        <v>20000.0</v>
      </c>
      <c r="I94" s="5" t="s">
        <v>12</v>
      </c>
      <c r="J94" s="5" t="s">
        <v>9</v>
      </c>
      <c r="K94" s="6">
        <v>20000.0</v>
      </c>
      <c r="L94" s="5" t="s">
        <v>10</v>
      </c>
      <c r="M94" s="5" t="s">
        <v>9</v>
      </c>
      <c r="N94" s="8"/>
      <c r="O94" s="5"/>
      <c r="P94" s="8">
        <f t="shared" si="3"/>
        <v>25000</v>
      </c>
      <c r="Q94" s="9" t="str">
        <f t="shared" si="2"/>
        <v>Pending</v>
      </c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0" t="s">
        <v>106</v>
      </c>
      <c r="B95" s="21">
        <v>15000.0</v>
      </c>
      <c r="C95" s="21" t="s">
        <v>9</v>
      </c>
      <c r="D95" s="22" t="s">
        <v>12</v>
      </c>
      <c r="E95" s="23">
        <v>25000.0</v>
      </c>
      <c r="F95" s="22" t="s">
        <v>12</v>
      </c>
      <c r="G95" s="22" t="s">
        <v>9</v>
      </c>
      <c r="H95" s="23">
        <v>20000.0</v>
      </c>
      <c r="I95" s="22" t="s">
        <v>12</v>
      </c>
      <c r="J95" s="22" t="s">
        <v>9</v>
      </c>
      <c r="K95" s="23">
        <v>20000.0</v>
      </c>
      <c r="L95" s="22" t="s">
        <v>12</v>
      </c>
      <c r="M95" s="22" t="s">
        <v>9</v>
      </c>
      <c r="N95" s="24"/>
      <c r="O95" s="22"/>
      <c r="P95" s="24">
        <f t="shared" si="3"/>
        <v>0</v>
      </c>
      <c r="Q95" s="25" t="str">
        <f t="shared" si="2"/>
        <v>Paid</v>
      </c>
      <c r="R95" s="26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3" t="s">
        <v>107</v>
      </c>
      <c r="B96" s="4">
        <v>15000.0</v>
      </c>
      <c r="C96" s="4" t="s">
        <v>9</v>
      </c>
      <c r="D96" s="5" t="s">
        <v>12</v>
      </c>
      <c r="E96" s="7"/>
      <c r="F96" s="7"/>
      <c r="G96" s="7"/>
      <c r="H96" s="7"/>
      <c r="I96" s="7"/>
      <c r="J96" s="7"/>
      <c r="K96" s="7"/>
      <c r="L96" s="7"/>
      <c r="M96" s="7"/>
      <c r="N96" s="8"/>
      <c r="O96" s="7"/>
      <c r="P96" s="8">
        <f t="shared" si="3"/>
        <v>65000</v>
      </c>
      <c r="Q96" s="9" t="str">
        <f t="shared" si="2"/>
        <v>Pending</v>
      </c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 t="s">
        <v>108</v>
      </c>
      <c r="B97" s="4">
        <v>15000.0</v>
      </c>
      <c r="C97" s="4" t="s">
        <v>9</v>
      </c>
      <c r="D97" s="5" t="s">
        <v>12</v>
      </c>
      <c r="E97" s="30"/>
      <c r="F97" s="7"/>
      <c r="G97" s="7"/>
      <c r="H97" s="7"/>
      <c r="I97" s="7"/>
      <c r="J97" s="7"/>
      <c r="K97" s="7"/>
      <c r="L97" s="7"/>
      <c r="M97" s="7"/>
      <c r="N97" s="8"/>
      <c r="O97" s="7"/>
      <c r="P97" s="8">
        <f t="shared" si="3"/>
        <v>65000</v>
      </c>
      <c r="Q97" s="9" t="str">
        <f t="shared" si="2"/>
        <v>Pending</v>
      </c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0" t="s">
        <v>109</v>
      </c>
      <c r="B98" s="21">
        <v>15000.0</v>
      </c>
      <c r="C98" s="21" t="s">
        <v>9</v>
      </c>
      <c r="D98" s="22" t="s">
        <v>12</v>
      </c>
      <c r="E98" s="23">
        <v>20000.0</v>
      </c>
      <c r="F98" s="22" t="s">
        <v>12</v>
      </c>
      <c r="G98" s="22" t="s">
        <v>9</v>
      </c>
      <c r="H98" s="23">
        <v>20000.0</v>
      </c>
      <c r="I98" s="22" t="s">
        <v>12</v>
      </c>
      <c r="J98" s="22" t="s">
        <v>9</v>
      </c>
      <c r="K98" s="23">
        <v>25000.0</v>
      </c>
      <c r="L98" s="22" t="s">
        <v>12</v>
      </c>
      <c r="M98" s="22" t="s">
        <v>9</v>
      </c>
      <c r="N98" s="24"/>
      <c r="O98" s="22"/>
      <c r="P98" s="24">
        <f t="shared" si="3"/>
        <v>0</v>
      </c>
      <c r="Q98" s="25" t="str">
        <f t="shared" si="2"/>
        <v>Paid</v>
      </c>
      <c r="R98" s="26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0" t="s">
        <v>110</v>
      </c>
      <c r="B99" s="21">
        <v>15000.0</v>
      </c>
      <c r="C99" s="21" t="s">
        <v>9</v>
      </c>
      <c r="D99" s="22" t="s">
        <v>12</v>
      </c>
      <c r="E99" s="23">
        <v>25000.0</v>
      </c>
      <c r="F99" s="22" t="s">
        <v>12</v>
      </c>
      <c r="G99" s="22" t="s">
        <v>9</v>
      </c>
      <c r="H99" s="23">
        <v>20000.0</v>
      </c>
      <c r="I99" s="22" t="s">
        <v>12</v>
      </c>
      <c r="J99" s="22" t="s">
        <v>9</v>
      </c>
      <c r="K99" s="23">
        <v>20000.0</v>
      </c>
      <c r="L99" s="22" t="s">
        <v>12</v>
      </c>
      <c r="M99" s="22" t="s">
        <v>9</v>
      </c>
      <c r="N99" s="24"/>
      <c r="O99" s="22"/>
      <c r="P99" s="24">
        <f t="shared" si="3"/>
        <v>0</v>
      </c>
      <c r="Q99" s="25" t="str">
        <f t="shared" si="2"/>
        <v>Paid</v>
      </c>
      <c r="R99" s="26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3" t="s">
        <v>111</v>
      </c>
      <c r="B100" s="4">
        <v>15000.0</v>
      </c>
      <c r="C100" s="4" t="s">
        <v>9</v>
      </c>
      <c r="D100" s="5" t="s">
        <v>12</v>
      </c>
      <c r="E100" s="30"/>
      <c r="F100" s="7"/>
      <c r="G100" s="7"/>
      <c r="H100" s="7"/>
      <c r="I100" s="7"/>
      <c r="J100" s="7"/>
      <c r="K100" s="7"/>
      <c r="L100" s="7"/>
      <c r="M100" s="7"/>
      <c r="N100" s="8"/>
      <c r="O100" s="7"/>
      <c r="P100" s="8">
        <f t="shared" si="3"/>
        <v>65000</v>
      </c>
      <c r="Q100" s="9" t="str">
        <f t="shared" si="2"/>
        <v>Pending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 t="s">
        <v>112</v>
      </c>
      <c r="B101" s="4">
        <v>15000.0</v>
      </c>
      <c r="C101" s="4" t="s">
        <v>9</v>
      </c>
      <c r="D101" s="5" t="s">
        <v>12</v>
      </c>
      <c r="E101" s="6">
        <v>25000.0</v>
      </c>
      <c r="F101" s="5" t="s">
        <v>12</v>
      </c>
      <c r="G101" s="5" t="s">
        <v>18</v>
      </c>
      <c r="H101" s="7"/>
      <c r="I101" s="7"/>
      <c r="J101" s="7"/>
      <c r="K101" s="7"/>
      <c r="L101" s="7"/>
      <c r="M101" s="7"/>
      <c r="N101" s="8"/>
      <c r="O101" s="7"/>
      <c r="P101" s="8">
        <f t="shared" si="3"/>
        <v>40000</v>
      </c>
      <c r="Q101" s="9" t="str">
        <f t="shared" si="2"/>
        <v>Pending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 t="s">
        <v>113</v>
      </c>
      <c r="B102" s="9"/>
      <c r="C102" s="9"/>
      <c r="D102" s="7"/>
      <c r="E102" s="6">
        <v>20000.0</v>
      </c>
      <c r="F102" s="5" t="s">
        <v>12</v>
      </c>
      <c r="G102" s="5" t="s">
        <v>9</v>
      </c>
      <c r="H102" s="6">
        <v>10000.0</v>
      </c>
      <c r="I102" s="5" t="s">
        <v>12</v>
      </c>
      <c r="J102" s="5" t="s">
        <v>9</v>
      </c>
      <c r="K102" s="6">
        <v>25000.0</v>
      </c>
      <c r="L102" s="5" t="s">
        <v>12</v>
      </c>
      <c r="M102" s="5" t="s">
        <v>9</v>
      </c>
      <c r="N102" s="8"/>
      <c r="O102" s="5"/>
      <c r="P102" s="8">
        <f t="shared" si="3"/>
        <v>10000</v>
      </c>
      <c r="Q102" s="9" t="str">
        <f t="shared" si="2"/>
        <v>Pending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 t="s">
        <v>114</v>
      </c>
      <c r="B103" s="9"/>
      <c r="C103" s="9"/>
      <c r="D103" s="7"/>
      <c r="E103" s="6">
        <v>20000.0</v>
      </c>
      <c r="F103" s="5" t="s">
        <v>12</v>
      </c>
      <c r="G103" s="5" t="s">
        <v>9</v>
      </c>
      <c r="H103" s="6">
        <v>20000.0</v>
      </c>
      <c r="I103" s="5" t="s">
        <v>12</v>
      </c>
      <c r="J103" s="5" t="s">
        <v>9</v>
      </c>
      <c r="K103" s="7"/>
      <c r="L103" s="7"/>
      <c r="M103" s="7"/>
      <c r="N103" s="8"/>
      <c r="O103" s="7"/>
      <c r="P103" s="8">
        <f t="shared" si="3"/>
        <v>25000</v>
      </c>
      <c r="Q103" s="9" t="str">
        <f t="shared" si="2"/>
        <v>Pending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 t="s">
        <v>115</v>
      </c>
      <c r="B104" s="4">
        <v>15000.0</v>
      </c>
      <c r="C104" s="4" t="s">
        <v>9</v>
      </c>
      <c r="D104" s="5" t="s">
        <v>12</v>
      </c>
      <c r="E104" s="30"/>
      <c r="F104" s="14"/>
      <c r="G104" s="7"/>
      <c r="H104" s="7"/>
      <c r="I104" s="7"/>
      <c r="J104" s="7"/>
      <c r="K104" s="7"/>
      <c r="L104" s="7"/>
      <c r="M104" s="7"/>
      <c r="N104" s="8"/>
      <c r="O104" s="7"/>
      <c r="P104" s="8">
        <f t="shared" si="3"/>
        <v>65000</v>
      </c>
      <c r="Q104" s="9" t="str">
        <f t="shared" si="2"/>
        <v>Pending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10" t="s">
        <v>116</v>
      </c>
      <c r="B105" s="11">
        <v>15000.0</v>
      </c>
      <c r="C105" s="11" t="s">
        <v>9</v>
      </c>
      <c r="D105" s="12" t="s">
        <v>12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6"/>
      <c r="O105" s="14"/>
      <c r="P105" s="16">
        <f t="shared" si="3"/>
        <v>65000</v>
      </c>
      <c r="Q105" s="17" t="str">
        <f t="shared" si="2"/>
        <v>Pending</v>
      </c>
      <c r="R105" s="18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10" t="s">
        <v>117</v>
      </c>
      <c r="B106" s="11">
        <v>15000.0</v>
      </c>
      <c r="C106" s="11" t="s">
        <v>9</v>
      </c>
      <c r="D106" s="12" t="s">
        <v>10</v>
      </c>
      <c r="E106" s="15">
        <v>35000.0</v>
      </c>
      <c r="F106" s="12" t="s">
        <v>10</v>
      </c>
      <c r="G106" s="12" t="s">
        <v>9</v>
      </c>
      <c r="H106" s="14"/>
      <c r="I106" s="14"/>
      <c r="J106" s="14"/>
      <c r="K106" s="14"/>
      <c r="L106" s="14"/>
      <c r="M106" s="14"/>
      <c r="N106" s="16"/>
      <c r="O106" s="14"/>
      <c r="P106" s="16">
        <f t="shared" si="3"/>
        <v>30000</v>
      </c>
      <c r="Q106" s="17" t="str">
        <f t="shared" si="2"/>
        <v>Pending</v>
      </c>
      <c r="R106" s="18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3" t="s">
        <v>118</v>
      </c>
      <c r="B107" s="4">
        <v>15000.0</v>
      </c>
      <c r="C107" s="4" t="s">
        <v>9</v>
      </c>
      <c r="D107" s="5" t="s">
        <v>12</v>
      </c>
      <c r="E107" s="7"/>
      <c r="F107" s="7"/>
      <c r="G107" s="7"/>
      <c r="H107" s="7"/>
      <c r="I107" s="7"/>
      <c r="J107" s="7"/>
      <c r="K107" s="7"/>
      <c r="L107" s="7"/>
      <c r="M107" s="7"/>
      <c r="N107" s="8"/>
      <c r="O107" s="7"/>
      <c r="P107" s="8">
        <f t="shared" si="3"/>
        <v>65000</v>
      </c>
      <c r="Q107" s="9" t="str">
        <f t="shared" si="2"/>
        <v>Pending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 t="s">
        <v>119</v>
      </c>
      <c r="B108" s="4">
        <v>15000.0</v>
      </c>
      <c r="C108" s="4" t="s">
        <v>9</v>
      </c>
      <c r="D108" s="5" t="s">
        <v>12</v>
      </c>
      <c r="E108" s="30"/>
      <c r="F108" s="7"/>
      <c r="G108" s="7"/>
      <c r="H108" s="7"/>
      <c r="I108" s="7"/>
      <c r="J108" s="7"/>
      <c r="K108" s="7"/>
      <c r="L108" s="7"/>
      <c r="M108" s="7"/>
      <c r="N108" s="8"/>
      <c r="O108" s="7"/>
      <c r="P108" s="8">
        <f t="shared" si="3"/>
        <v>65000</v>
      </c>
      <c r="Q108" s="9" t="str">
        <f t="shared" si="2"/>
        <v>Pending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 t="s">
        <v>120</v>
      </c>
      <c r="B109" s="4">
        <v>15000.0</v>
      </c>
      <c r="C109" s="4" t="s">
        <v>9</v>
      </c>
      <c r="D109" s="5" t="s">
        <v>12</v>
      </c>
      <c r="E109" s="7"/>
      <c r="F109" s="7"/>
      <c r="G109" s="7"/>
      <c r="H109" s="7"/>
      <c r="I109" s="7"/>
      <c r="J109" s="7"/>
      <c r="K109" s="7"/>
      <c r="L109" s="7"/>
      <c r="M109" s="7"/>
      <c r="N109" s="8"/>
      <c r="O109" s="7"/>
      <c r="P109" s="8">
        <f t="shared" si="3"/>
        <v>65000</v>
      </c>
      <c r="Q109" s="9" t="str">
        <f t="shared" si="2"/>
        <v>Pending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10" t="s">
        <v>121</v>
      </c>
      <c r="B110" s="11">
        <v>15000.0</v>
      </c>
      <c r="C110" s="11" t="s">
        <v>9</v>
      </c>
      <c r="D110" s="12" t="s">
        <v>12</v>
      </c>
      <c r="E110" s="13"/>
      <c r="F110" s="14"/>
      <c r="G110" s="14"/>
      <c r="H110" s="14"/>
      <c r="I110" s="14"/>
      <c r="J110" s="14"/>
      <c r="K110" s="14"/>
      <c r="L110" s="14"/>
      <c r="M110" s="14"/>
      <c r="N110" s="16"/>
      <c r="O110" s="14"/>
      <c r="P110" s="16">
        <f t="shared" si="3"/>
        <v>65000</v>
      </c>
      <c r="Q110" s="17" t="str">
        <f t="shared" si="2"/>
        <v>Pending</v>
      </c>
      <c r="R110" s="18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20" t="s">
        <v>122</v>
      </c>
      <c r="B111" s="21">
        <v>15000.0</v>
      </c>
      <c r="C111" s="21" t="s">
        <v>9</v>
      </c>
      <c r="D111" s="22" t="s">
        <v>12</v>
      </c>
      <c r="E111" s="23">
        <v>25000.0</v>
      </c>
      <c r="F111" s="22" t="s">
        <v>12</v>
      </c>
      <c r="G111" s="22" t="s">
        <v>9</v>
      </c>
      <c r="H111" s="23">
        <v>35000.0</v>
      </c>
      <c r="I111" s="22" t="s">
        <v>12</v>
      </c>
      <c r="J111" s="22" t="s">
        <v>9</v>
      </c>
      <c r="K111" s="23">
        <v>5000.0</v>
      </c>
      <c r="L111" s="22" t="s">
        <v>12</v>
      </c>
      <c r="M111" s="22" t="s">
        <v>9</v>
      </c>
      <c r="N111" s="24"/>
      <c r="O111" s="22"/>
      <c r="P111" s="24">
        <f t="shared" si="3"/>
        <v>0</v>
      </c>
      <c r="Q111" s="25" t="str">
        <f t="shared" si="2"/>
        <v>Paid</v>
      </c>
      <c r="R111" s="26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10" t="s">
        <v>123</v>
      </c>
      <c r="B112" s="11">
        <v>15000.0</v>
      </c>
      <c r="C112" s="11" t="s">
        <v>9</v>
      </c>
      <c r="D112" s="12" t="s">
        <v>12</v>
      </c>
      <c r="E112" s="15">
        <v>25000.0</v>
      </c>
      <c r="F112" s="12" t="s">
        <v>12</v>
      </c>
      <c r="G112" s="12" t="s">
        <v>9</v>
      </c>
      <c r="H112" s="14"/>
      <c r="I112" s="14"/>
      <c r="J112" s="14"/>
      <c r="K112" s="15">
        <v>30000.0</v>
      </c>
      <c r="L112" s="12" t="s">
        <v>12</v>
      </c>
      <c r="M112" s="12" t="s">
        <v>9</v>
      </c>
      <c r="N112" s="16"/>
      <c r="O112" s="12"/>
      <c r="P112" s="16">
        <f t="shared" si="3"/>
        <v>10000</v>
      </c>
      <c r="Q112" s="17" t="str">
        <f t="shared" si="2"/>
        <v>Pending</v>
      </c>
      <c r="R112" s="18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10" t="s">
        <v>124</v>
      </c>
      <c r="B113" s="17"/>
      <c r="C113" s="17"/>
      <c r="D113" s="14"/>
      <c r="E113" s="15">
        <v>10000.0</v>
      </c>
      <c r="F113" s="12" t="s">
        <v>12</v>
      </c>
      <c r="G113" s="12" t="s">
        <v>9</v>
      </c>
      <c r="H113" s="15">
        <v>10000.0</v>
      </c>
      <c r="I113" s="12" t="s">
        <v>10</v>
      </c>
      <c r="J113" s="12" t="s">
        <v>9</v>
      </c>
      <c r="K113" s="15">
        <v>15000.0</v>
      </c>
      <c r="L113" s="12" t="s">
        <v>12</v>
      </c>
      <c r="M113" s="12" t="s">
        <v>9</v>
      </c>
      <c r="N113" s="16"/>
      <c r="O113" s="12"/>
      <c r="P113" s="16">
        <f t="shared" si="3"/>
        <v>30000</v>
      </c>
      <c r="Q113" s="17" t="str">
        <f t="shared" si="2"/>
        <v>Pending</v>
      </c>
      <c r="R113" s="18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20" t="s">
        <v>125</v>
      </c>
      <c r="B114" s="21">
        <v>15000.0</v>
      </c>
      <c r="C114" s="21" t="s">
        <v>9</v>
      </c>
      <c r="D114" s="22" t="s">
        <v>12</v>
      </c>
      <c r="E114" s="23">
        <v>15000.0</v>
      </c>
      <c r="F114" s="22" t="s">
        <v>12</v>
      </c>
      <c r="G114" s="22" t="s">
        <v>9</v>
      </c>
      <c r="H114" s="23">
        <v>20000.0</v>
      </c>
      <c r="I114" s="22" t="s">
        <v>12</v>
      </c>
      <c r="J114" s="22" t="s">
        <v>9</v>
      </c>
      <c r="K114" s="23">
        <v>30000.0</v>
      </c>
      <c r="L114" s="22" t="s">
        <v>12</v>
      </c>
      <c r="M114" s="22" t="s">
        <v>9</v>
      </c>
      <c r="N114" s="24"/>
      <c r="O114" s="22"/>
      <c r="P114" s="24">
        <f t="shared" si="3"/>
        <v>0</v>
      </c>
      <c r="Q114" s="25" t="str">
        <f t="shared" si="2"/>
        <v>Paid</v>
      </c>
      <c r="R114" s="26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0" t="s">
        <v>126</v>
      </c>
      <c r="B115" s="21">
        <v>15000.0</v>
      </c>
      <c r="C115" s="21" t="s">
        <v>9</v>
      </c>
      <c r="D115" s="22" t="s">
        <v>12</v>
      </c>
      <c r="E115" s="23">
        <v>20000.0</v>
      </c>
      <c r="F115" s="22" t="s">
        <v>12</v>
      </c>
      <c r="G115" s="22" t="s">
        <v>9</v>
      </c>
      <c r="H115" s="23">
        <v>20000.0</v>
      </c>
      <c r="I115" s="22" t="s">
        <v>12</v>
      </c>
      <c r="J115" s="22" t="s">
        <v>9</v>
      </c>
      <c r="K115" s="23">
        <v>25000.0</v>
      </c>
      <c r="L115" s="22" t="s">
        <v>12</v>
      </c>
      <c r="M115" s="22" t="s">
        <v>9</v>
      </c>
      <c r="N115" s="24"/>
      <c r="O115" s="22"/>
      <c r="P115" s="24">
        <f t="shared" si="3"/>
        <v>0</v>
      </c>
      <c r="Q115" s="25" t="str">
        <f t="shared" si="2"/>
        <v>Paid</v>
      </c>
      <c r="R115" s="26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10" t="s">
        <v>127</v>
      </c>
      <c r="B116" s="11">
        <v>15000.0</v>
      </c>
      <c r="C116" s="11" t="s">
        <v>9</v>
      </c>
      <c r="D116" s="12" t="s">
        <v>12</v>
      </c>
      <c r="E116" s="15">
        <v>25000.0</v>
      </c>
      <c r="F116" s="12" t="s">
        <v>12</v>
      </c>
      <c r="G116" s="12" t="s">
        <v>9</v>
      </c>
      <c r="H116" s="15">
        <v>15000.0</v>
      </c>
      <c r="I116" s="12" t="s">
        <v>12</v>
      </c>
      <c r="J116" s="12" t="s">
        <v>9</v>
      </c>
      <c r="K116" s="14"/>
      <c r="L116" s="14"/>
      <c r="M116" s="14"/>
      <c r="N116" s="16"/>
      <c r="O116" s="14"/>
      <c r="P116" s="16">
        <f t="shared" si="3"/>
        <v>25000</v>
      </c>
      <c r="Q116" s="17" t="str">
        <f t="shared" si="2"/>
        <v>Pending</v>
      </c>
      <c r="R116" s="18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20" t="s">
        <v>128</v>
      </c>
      <c r="B117" s="21">
        <v>15000.0</v>
      </c>
      <c r="C117" s="21" t="s">
        <v>9</v>
      </c>
      <c r="D117" s="22" t="s">
        <v>12</v>
      </c>
      <c r="E117" s="23">
        <v>15000.0</v>
      </c>
      <c r="F117" s="22" t="s">
        <v>12</v>
      </c>
      <c r="G117" s="22" t="s">
        <v>9</v>
      </c>
      <c r="H117" s="23">
        <v>15000.0</v>
      </c>
      <c r="I117" s="22" t="s">
        <v>12</v>
      </c>
      <c r="J117" s="22" t="s">
        <v>9</v>
      </c>
      <c r="K117" s="23">
        <v>35000.0</v>
      </c>
      <c r="L117" s="22" t="s">
        <v>12</v>
      </c>
      <c r="M117" s="22" t="s">
        <v>9</v>
      </c>
      <c r="N117" s="24"/>
      <c r="O117" s="22"/>
      <c r="P117" s="24">
        <f t="shared" si="3"/>
        <v>0</v>
      </c>
      <c r="Q117" s="25" t="str">
        <f t="shared" si="2"/>
        <v>Paid</v>
      </c>
      <c r="R117" s="26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10" t="s">
        <v>129</v>
      </c>
      <c r="B118" s="11">
        <v>15000.0</v>
      </c>
      <c r="C118" s="11" t="s">
        <v>9</v>
      </c>
      <c r="D118" s="12" t="s">
        <v>12</v>
      </c>
      <c r="E118" s="15">
        <v>15000.0</v>
      </c>
      <c r="F118" s="12" t="s">
        <v>12</v>
      </c>
      <c r="G118" s="12" t="s">
        <v>9</v>
      </c>
      <c r="H118" s="15">
        <v>5000.0</v>
      </c>
      <c r="I118" s="12" t="s">
        <v>12</v>
      </c>
      <c r="J118" s="12" t="s">
        <v>9</v>
      </c>
      <c r="K118" s="15">
        <v>20000.0</v>
      </c>
      <c r="L118" s="12" t="s">
        <v>10</v>
      </c>
      <c r="M118" s="12" t="s">
        <v>9</v>
      </c>
      <c r="N118" s="16"/>
      <c r="O118" s="12"/>
      <c r="P118" s="16">
        <f t="shared" si="3"/>
        <v>25000</v>
      </c>
      <c r="Q118" s="17" t="str">
        <f t="shared" si="2"/>
        <v>Pending</v>
      </c>
      <c r="R118" s="18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20" t="s">
        <v>130</v>
      </c>
      <c r="B119" s="21">
        <v>15000.0</v>
      </c>
      <c r="C119" s="21" t="s">
        <v>9</v>
      </c>
      <c r="D119" s="22" t="s">
        <v>12</v>
      </c>
      <c r="E119" s="23">
        <v>25000.0</v>
      </c>
      <c r="F119" s="22" t="s">
        <v>12</v>
      </c>
      <c r="G119" s="22" t="s">
        <v>9</v>
      </c>
      <c r="H119" s="23">
        <v>25000.0</v>
      </c>
      <c r="I119" s="22" t="s">
        <v>12</v>
      </c>
      <c r="J119" s="22" t="s">
        <v>9</v>
      </c>
      <c r="K119" s="23">
        <v>15000.0</v>
      </c>
      <c r="L119" s="22" t="s">
        <v>12</v>
      </c>
      <c r="M119" s="22" t="s">
        <v>9</v>
      </c>
      <c r="N119" s="24"/>
      <c r="O119" s="22"/>
      <c r="P119" s="24">
        <f t="shared" si="3"/>
        <v>0</v>
      </c>
      <c r="Q119" s="25" t="str">
        <f t="shared" si="2"/>
        <v>Paid</v>
      </c>
      <c r="R119" s="26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10" t="s">
        <v>131</v>
      </c>
      <c r="B120" s="11">
        <v>15000.0</v>
      </c>
      <c r="C120" s="11" t="s">
        <v>9</v>
      </c>
      <c r="D120" s="12" t="s">
        <v>12</v>
      </c>
      <c r="E120" s="15">
        <v>10000.0</v>
      </c>
      <c r="F120" s="12" t="s">
        <v>12</v>
      </c>
      <c r="G120" s="12" t="s">
        <v>9</v>
      </c>
      <c r="H120" s="14"/>
      <c r="I120" s="14"/>
      <c r="J120" s="14"/>
      <c r="K120" s="15">
        <v>30000.0</v>
      </c>
      <c r="L120" s="12" t="s">
        <v>12</v>
      </c>
      <c r="M120" s="12" t="s">
        <v>9</v>
      </c>
      <c r="N120" s="16"/>
      <c r="O120" s="12"/>
      <c r="P120" s="16">
        <f t="shared" si="3"/>
        <v>25000</v>
      </c>
      <c r="Q120" s="17" t="str">
        <f t="shared" si="2"/>
        <v>Pending</v>
      </c>
      <c r="R120" s="18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10" t="s">
        <v>132</v>
      </c>
      <c r="B121" s="17"/>
      <c r="C121" s="17"/>
      <c r="D121" s="14"/>
      <c r="E121" s="15">
        <v>13500.0</v>
      </c>
      <c r="F121" s="12" t="s">
        <v>12</v>
      </c>
      <c r="G121" s="12" t="s">
        <v>9</v>
      </c>
      <c r="H121" s="14"/>
      <c r="I121" s="14"/>
      <c r="J121" s="14"/>
      <c r="K121" s="15">
        <v>20000.0</v>
      </c>
      <c r="L121" s="12" t="s">
        <v>12</v>
      </c>
      <c r="M121" s="12" t="s">
        <v>9</v>
      </c>
      <c r="N121" s="16"/>
      <c r="O121" s="12"/>
      <c r="P121" s="16">
        <f t="shared" si="3"/>
        <v>31500</v>
      </c>
      <c r="Q121" s="17" t="str">
        <f t="shared" si="2"/>
        <v>Pending</v>
      </c>
      <c r="R121" s="18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10" t="s">
        <v>133</v>
      </c>
      <c r="B122" s="11">
        <v>15000.0</v>
      </c>
      <c r="C122" s="11" t="s">
        <v>9</v>
      </c>
      <c r="D122" s="12" t="s">
        <v>12</v>
      </c>
      <c r="E122" s="15">
        <v>10000.0</v>
      </c>
      <c r="F122" s="12" t="s">
        <v>12</v>
      </c>
      <c r="G122" s="12" t="s">
        <v>9</v>
      </c>
      <c r="H122" s="14"/>
      <c r="I122" s="14"/>
      <c r="J122" s="14"/>
      <c r="K122" s="14"/>
      <c r="L122" s="14"/>
      <c r="M122" s="14"/>
      <c r="N122" s="16"/>
      <c r="O122" s="14"/>
      <c r="P122" s="16">
        <f t="shared" si="3"/>
        <v>55000</v>
      </c>
      <c r="Q122" s="17" t="str">
        <f t="shared" si="2"/>
        <v>Pending</v>
      </c>
      <c r="R122" s="18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10" t="s">
        <v>134</v>
      </c>
      <c r="B123" s="17"/>
      <c r="C123" s="17"/>
      <c r="D123" s="14"/>
      <c r="E123" s="15">
        <v>25000.0</v>
      </c>
      <c r="F123" s="12" t="s">
        <v>12</v>
      </c>
      <c r="G123" s="12" t="s">
        <v>9</v>
      </c>
      <c r="H123" s="14"/>
      <c r="I123" s="14"/>
      <c r="J123" s="14"/>
      <c r="K123" s="15">
        <v>15000.0</v>
      </c>
      <c r="L123" s="12" t="s">
        <v>12</v>
      </c>
      <c r="M123" s="12" t="s">
        <v>9</v>
      </c>
      <c r="N123" s="16"/>
      <c r="O123" s="12"/>
      <c r="P123" s="16">
        <f t="shared" si="3"/>
        <v>25000</v>
      </c>
      <c r="Q123" s="17" t="str">
        <f t="shared" si="2"/>
        <v>Pending</v>
      </c>
      <c r="R123" s="18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>
      <c r="A124" s="20" t="s">
        <v>135</v>
      </c>
      <c r="B124" s="21">
        <v>15000.0</v>
      </c>
      <c r="C124" s="21" t="s">
        <v>9</v>
      </c>
      <c r="D124" s="22" t="s">
        <v>12</v>
      </c>
      <c r="E124" s="23">
        <v>25000.0</v>
      </c>
      <c r="F124" s="22" t="s">
        <v>12</v>
      </c>
      <c r="G124" s="22" t="s">
        <v>9</v>
      </c>
      <c r="H124" s="23">
        <v>20000.0</v>
      </c>
      <c r="I124" s="22" t="s">
        <v>12</v>
      </c>
      <c r="J124" s="22" t="s">
        <v>9</v>
      </c>
      <c r="K124" s="23">
        <v>20000.0</v>
      </c>
      <c r="L124" s="22" t="s">
        <v>12</v>
      </c>
      <c r="M124" s="22" t="s">
        <v>9</v>
      </c>
      <c r="N124" s="24"/>
      <c r="O124" s="22"/>
      <c r="P124" s="24">
        <f t="shared" si="3"/>
        <v>0</v>
      </c>
      <c r="Q124" s="25" t="str">
        <f t="shared" si="2"/>
        <v>Paid</v>
      </c>
      <c r="R124" s="26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0" t="s">
        <v>136</v>
      </c>
      <c r="B125" s="25"/>
      <c r="C125" s="25"/>
      <c r="D125" s="29"/>
      <c r="E125" s="23">
        <v>25000.0</v>
      </c>
      <c r="F125" s="22" t="s">
        <v>12</v>
      </c>
      <c r="G125" s="22" t="s">
        <v>9</v>
      </c>
      <c r="H125" s="23">
        <v>20000.0</v>
      </c>
      <c r="I125" s="22" t="s">
        <v>12</v>
      </c>
      <c r="J125" s="22" t="s">
        <v>9</v>
      </c>
      <c r="K125" s="23">
        <v>20000.0</v>
      </c>
      <c r="L125" s="22" t="s">
        <v>12</v>
      </c>
      <c r="M125" s="22" t="s">
        <v>9</v>
      </c>
      <c r="N125" s="24"/>
      <c r="O125" s="22"/>
      <c r="P125" s="24">
        <f t="shared" si="3"/>
        <v>0</v>
      </c>
      <c r="Q125" s="25" t="str">
        <f t="shared" si="2"/>
        <v>Paid</v>
      </c>
      <c r="R125" s="26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0" t="s">
        <v>137</v>
      </c>
      <c r="B126" s="21">
        <v>15000.0</v>
      </c>
      <c r="C126" s="21" t="s">
        <v>9</v>
      </c>
      <c r="D126" s="22" t="s">
        <v>12</v>
      </c>
      <c r="E126" s="23">
        <v>25000.0</v>
      </c>
      <c r="F126" s="22" t="s">
        <v>12</v>
      </c>
      <c r="G126" s="22" t="s">
        <v>9</v>
      </c>
      <c r="H126" s="23">
        <v>20000.0</v>
      </c>
      <c r="I126" s="22" t="s">
        <v>12</v>
      </c>
      <c r="J126" s="22" t="s">
        <v>9</v>
      </c>
      <c r="K126" s="23">
        <v>20000.0</v>
      </c>
      <c r="L126" s="22" t="s">
        <v>12</v>
      </c>
      <c r="M126" s="22" t="s">
        <v>9</v>
      </c>
      <c r="N126" s="24"/>
      <c r="O126" s="22"/>
      <c r="P126" s="24">
        <f t="shared" si="3"/>
        <v>0</v>
      </c>
      <c r="Q126" s="25" t="str">
        <f t="shared" si="2"/>
        <v>Paid</v>
      </c>
      <c r="R126" s="26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40" t="s">
        <v>138</v>
      </c>
      <c r="B127" s="41">
        <v>15000.0</v>
      </c>
      <c r="C127" s="41" t="s">
        <v>9</v>
      </c>
      <c r="D127" s="42" t="s">
        <v>12</v>
      </c>
      <c r="E127" s="43">
        <v>20000.0</v>
      </c>
      <c r="F127" s="42" t="s">
        <v>12</v>
      </c>
      <c r="G127" s="42" t="s">
        <v>9</v>
      </c>
      <c r="H127" s="44"/>
      <c r="I127" s="44"/>
      <c r="J127" s="44"/>
      <c r="K127" s="44"/>
      <c r="L127" s="44"/>
      <c r="M127" s="44"/>
      <c r="N127" s="45"/>
      <c r="O127" s="44"/>
      <c r="P127" s="45">
        <f t="shared" si="3"/>
        <v>45000</v>
      </c>
      <c r="Q127" s="46" t="str">
        <f t="shared" si="2"/>
        <v>Pending</v>
      </c>
      <c r="R127" s="47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>
      <c r="A128" s="10" t="s">
        <v>139</v>
      </c>
      <c r="B128" s="17"/>
      <c r="C128" s="17"/>
      <c r="D128" s="14"/>
      <c r="E128" s="14"/>
      <c r="F128" s="14"/>
      <c r="G128" s="14"/>
      <c r="H128" s="15">
        <v>20000.0</v>
      </c>
      <c r="I128" s="12" t="s">
        <v>12</v>
      </c>
      <c r="J128" s="12" t="s">
        <v>9</v>
      </c>
      <c r="K128" s="15">
        <v>15000.0</v>
      </c>
      <c r="L128" s="12" t="s">
        <v>12</v>
      </c>
      <c r="M128" s="12" t="s">
        <v>9</v>
      </c>
      <c r="N128" s="16"/>
      <c r="O128" s="12"/>
      <c r="P128" s="16">
        <f t="shared" si="3"/>
        <v>30000</v>
      </c>
      <c r="Q128" s="17" t="str">
        <f t="shared" si="2"/>
        <v>Pending</v>
      </c>
      <c r="R128" s="18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3" t="s">
        <v>140</v>
      </c>
      <c r="B129" s="4">
        <v>15000.0</v>
      </c>
      <c r="C129" s="4" t="s">
        <v>9</v>
      </c>
      <c r="D129" s="5" t="s">
        <v>12</v>
      </c>
      <c r="E129" s="6">
        <v>10000.0</v>
      </c>
      <c r="F129" s="5" t="s">
        <v>12</v>
      </c>
      <c r="G129" s="5" t="s">
        <v>9</v>
      </c>
      <c r="H129" s="6">
        <v>25000.0</v>
      </c>
      <c r="I129" s="5" t="s">
        <v>12</v>
      </c>
      <c r="J129" s="5" t="s">
        <v>9</v>
      </c>
      <c r="K129" s="7"/>
      <c r="L129" s="7"/>
      <c r="M129" s="7"/>
      <c r="N129" s="8"/>
      <c r="O129" s="7"/>
      <c r="P129" s="8">
        <f t="shared" si="3"/>
        <v>30000</v>
      </c>
      <c r="Q129" s="9" t="str">
        <f t="shared" si="2"/>
        <v>Pending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 t="s">
        <v>141</v>
      </c>
      <c r="B130" s="9"/>
      <c r="C130" s="9"/>
      <c r="D130" s="7"/>
      <c r="E130" s="6">
        <v>25000.0</v>
      </c>
      <c r="F130" s="5" t="s">
        <v>12</v>
      </c>
      <c r="G130" s="5" t="s">
        <v>9</v>
      </c>
      <c r="H130" s="6">
        <v>20000.0</v>
      </c>
      <c r="I130" s="5" t="s">
        <v>12</v>
      </c>
      <c r="J130" s="5" t="s">
        <v>9</v>
      </c>
      <c r="K130" s="7"/>
      <c r="L130" s="7"/>
      <c r="M130" s="7"/>
      <c r="N130" s="8"/>
      <c r="O130" s="7"/>
      <c r="P130" s="8">
        <f t="shared" si="3"/>
        <v>20000</v>
      </c>
      <c r="Q130" s="9" t="str">
        <f t="shared" si="2"/>
        <v>Pending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0" t="s">
        <v>142</v>
      </c>
      <c r="B131" s="21">
        <v>15000.0</v>
      </c>
      <c r="C131" s="21" t="s">
        <v>9</v>
      </c>
      <c r="D131" s="22" t="s">
        <v>12</v>
      </c>
      <c r="E131" s="23">
        <v>25000.0</v>
      </c>
      <c r="F131" s="22" t="s">
        <v>12</v>
      </c>
      <c r="G131" s="22" t="s">
        <v>9</v>
      </c>
      <c r="H131" s="23">
        <v>20000.0</v>
      </c>
      <c r="I131" s="22" t="s">
        <v>12</v>
      </c>
      <c r="J131" s="22" t="s">
        <v>9</v>
      </c>
      <c r="K131" s="23">
        <v>20000.0</v>
      </c>
      <c r="L131" s="22" t="s">
        <v>10</v>
      </c>
      <c r="M131" s="22" t="s">
        <v>9</v>
      </c>
      <c r="N131" s="24"/>
      <c r="O131" s="22"/>
      <c r="P131" s="24">
        <f t="shared" si="3"/>
        <v>0</v>
      </c>
      <c r="Q131" s="25" t="str">
        <f t="shared" si="2"/>
        <v>Paid</v>
      </c>
      <c r="R131" s="26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0" t="s">
        <v>143</v>
      </c>
      <c r="B132" s="25"/>
      <c r="C132" s="25"/>
      <c r="D132" s="29"/>
      <c r="E132" s="23">
        <v>20000.0</v>
      </c>
      <c r="F132" s="22" t="s">
        <v>12</v>
      </c>
      <c r="G132" s="22" t="s">
        <v>9</v>
      </c>
      <c r="H132" s="23">
        <v>20000.0</v>
      </c>
      <c r="I132" s="22" t="s">
        <v>12</v>
      </c>
      <c r="J132" s="22" t="s">
        <v>9</v>
      </c>
      <c r="K132" s="23">
        <v>25000.0</v>
      </c>
      <c r="L132" s="22" t="s">
        <v>12</v>
      </c>
      <c r="M132" s="22" t="s">
        <v>9</v>
      </c>
      <c r="N132" s="24"/>
      <c r="O132" s="22"/>
      <c r="P132" s="24">
        <f t="shared" si="3"/>
        <v>0</v>
      </c>
      <c r="Q132" s="25" t="str">
        <f t="shared" si="2"/>
        <v>Paid</v>
      </c>
      <c r="R132" s="26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0" t="s">
        <v>144</v>
      </c>
      <c r="B133" s="21">
        <v>15000.0</v>
      </c>
      <c r="C133" s="21" t="s">
        <v>9</v>
      </c>
      <c r="D133" s="22" t="s">
        <v>10</v>
      </c>
      <c r="E133" s="23">
        <v>25000.0</v>
      </c>
      <c r="F133" s="22" t="s">
        <v>12</v>
      </c>
      <c r="G133" s="22" t="s">
        <v>9</v>
      </c>
      <c r="H133" s="23">
        <v>20000.0</v>
      </c>
      <c r="I133" s="22" t="s">
        <v>12</v>
      </c>
      <c r="J133" s="22" t="s">
        <v>9</v>
      </c>
      <c r="K133" s="23">
        <v>20000.0</v>
      </c>
      <c r="L133" s="22" t="s">
        <v>12</v>
      </c>
      <c r="M133" s="22" t="s">
        <v>9</v>
      </c>
      <c r="N133" s="24"/>
      <c r="O133" s="22"/>
      <c r="P133" s="24">
        <f t="shared" si="3"/>
        <v>0</v>
      </c>
      <c r="Q133" s="25" t="str">
        <f t="shared" si="2"/>
        <v>Paid</v>
      </c>
      <c r="R133" s="26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3" t="s">
        <v>145</v>
      </c>
      <c r="B134" s="4">
        <v>15000.0</v>
      </c>
      <c r="C134" s="4" t="s">
        <v>9</v>
      </c>
      <c r="D134" s="5" t="s">
        <v>12</v>
      </c>
      <c r="E134" s="6">
        <v>15000.0</v>
      </c>
      <c r="F134" s="5" t="s">
        <v>12</v>
      </c>
      <c r="G134" s="5" t="s">
        <v>9</v>
      </c>
      <c r="H134" s="6">
        <v>20000.0</v>
      </c>
      <c r="I134" s="5" t="s">
        <v>10</v>
      </c>
      <c r="J134" s="5" t="s">
        <v>9</v>
      </c>
      <c r="K134" s="6">
        <v>15000.0</v>
      </c>
      <c r="L134" s="5" t="s">
        <v>12</v>
      </c>
      <c r="M134" s="5" t="s">
        <v>9</v>
      </c>
      <c r="N134" s="8"/>
      <c r="O134" s="5"/>
      <c r="P134" s="8">
        <f t="shared" si="3"/>
        <v>15000</v>
      </c>
      <c r="Q134" s="9" t="str">
        <f t="shared" si="2"/>
        <v>Pending</v>
      </c>
      <c r="R134" s="49" t="s">
        <v>146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 t="s">
        <v>147</v>
      </c>
      <c r="B135" s="4">
        <v>15000.0</v>
      </c>
      <c r="C135" s="4" t="s">
        <v>9</v>
      </c>
      <c r="D135" s="5" t="s">
        <v>12</v>
      </c>
      <c r="E135" s="7"/>
      <c r="F135" s="7"/>
      <c r="G135" s="7"/>
      <c r="H135" s="7"/>
      <c r="I135" s="7"/>
      <c r="J135" s="7"/>
      <c r="K135" s="6">
        <v>40000.0</v>
      </c>
      <c r="L135" s="5" t="s">
        <v>12</v>
      </c>
      <c r="M135" s="5" t="s">
        <v>9</v>
      </c>
      <c r="N135" s="8"/>
      <c r="O135" s="5"/>
      <c r="P135" s="8">
        <f t="shared" si="3"/>
        <v>25000</v>
      </c>
      <c r="Q135" s="9" t="str">
        <f t="shared" si="2"/>
        <v>Pending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0" t="s">
        <v>23</v>
      </c>
      <c r="B136" s="21">
        <v>15000.0</v>
      </c>
      <c r="C136" s="21" t="s">
        <v>9</v>
      </c>
      <c r="D136" s="22" t="s">
        <v>12</v>
      </c>
      <c r="E136" s="23">
        <v>25000.0</v>
      </c>
      <c r="F136" s="22" t="s">
        <v>12</v>
      </c>
      <c r="G136" s="22" t="s">
        <v>9</v>
      </c>
      <c r="H136" s="23">
        <v>20000.0</v>
      </c>
      <c r="I136" s="22" t="s">
        <v>12</v>
      </c>
      <c r="J136" s="22" t="s">
        <v>9</v>
      </c>
      <c r="K136" s="23">
        <v>15000.0</v>
      </c>
      <c r="L136" s="22" t="s">
        <v>12</v>
      </c>
      <c r="M136" s="22" t="s">
        <v>18</v>
      </c>
      <c r="N136" s="28">
        <v>5000.0</v>
      </c>
      <c r="O136" s="22" t="s">
        <v>12</v>
      </c>
      <c r="P136" s="24">
        <f>65000 - SUM(E136, H136, K136,N136)</f>
        <v>0</v>
      </c>
      <c r="Q136" s="25" t="str">
        <f t="shared" si="2"/>
        <v>Paid</v>
      </c>
      <c r="R136" s="26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3" t="s">
        <v>148</v>
      </c>
      <c r="B137" s="4">
        <v>15000.0</v>
      </c>
      <c r="C137" s="4" t="s">
        <v>9</v>
      </c>
      <c r="D137" s="5" t="s">
        <v>12</v>
      </c>
      <c r="E137" s="7"/>
      <c r="F137" s="7"/>
      <c r="G137" s="7"/>
      <c r="H137" s="7"/>
      <c r="I137" s="7"/>
      <c r="J137" s="7"/>
      <c r="K137" s="7"/>
      <c r="L137" s="7"/>
      <c r="M137" s="7"/>
      <c r="N137" s="8"/>
      <c r="O137" s="7"/>
      <c r="P137" s="8">
        <f t="shared" ref="P137:P210" si="4">65000 - SUM(E137, H137, K137)</f>
        <v>65000</v>
      </c>
      <c r="Q137" s="9" t="str">
        <f t="shared" si="2"/>
        <v>Pending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 t="s">
        <v>149</v>
      </c>
      <c r="B138" s="4">
        <v>15000.0</v>
      </c>
      <c r="C138" s="4" t="s">
        <v>9</v>
      </c>
      <c r="D138" s="5" t="s">
        <v>12</v>
      </c>
      <c r="E138" s="7"/>
      <c r="F138" s="7"/>
      <c r="G138" s="7"/>
      <c r="H138" s="7"/>
      <c r="I138" s="7"/>
      <c r="J138" s="7"/>
      <c r="K138" s="7"/>
      <c r="L138" s="7"/>
      <c r="M138" s="7"/>
      <c r="N138" s="8"/>
      <c r="O138" s="7"/>
      <c r="P138" s="8">
        <f t="shared" si="4"/>
        <v>65000</v>
      </c>
      <c r="Q138" s="9" t="str">
        <f t="shared" si="2"/>
        <v>Pending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0" t="s">
        <v>150</v>
      </c>
      <c r="B139" s="21">
        <v>15000.0</v>
      </c>
      <c r="C139" s="21" t="s">
        <v>9</v>
      </c>
      <c r="D139" s="22" t="s">
        <v>12</v>
      </c>
      <c r="E139" s="23">
        <v>30000.0</v>
      </c>
      <c r="F139" s="22" t="s">
        <v>12</v>
      </c>
      <c r="G139" s="22" t="s">
        <v>9</v>
      </c>
      <c r="H139" s="23">
        <v>20000.0</v>
      </c>
      <c r="I139" s="22" t="s">
        <v>12</v>
      </c>
      <c r="J139" s="22" t="s">
        <v>9</v>
      </c>
      <c r="K139" s="23">
        <v>15000.0</v>
      </c>
      <c r="L139" s="22" t="s">
        <v>12</v>
      </c>
      <c r="M139" s="22" t="s">
        <v>9</v>
      </c>
      <c r="N139" s="24"/>
      <c r="O139" s="22"/>
      <c r="P139" s="24">
        <f t="shared" si="4"/>
        <v>0</v>
      </c>
      <c r="Q139" s="25" t="str">
        <f t="shared" si="2"/>
        <v>Paid</v>
      </c>
      <c r="R139" s="26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10" t="s">
        <v>151</v>
      </c>
      <c r="B140" s="11">
        <v>15000.0</v>
      </c>
      <c r="C140" s="11" t="s">
        <v>9</v>
      </c>
      <c r="D140" s="12" t="s">
        <v>12</v>
      </c>
      <c r="E140" s="15">
        <v>20000.0</v>
      </c>
      <c r="F140" s="12" t="s">
        <v>12</v>
      </c>
      <c r="G140" s="12" t="s">
        <v>9</v>
      </c>
      <c r="H140" s="15">
        <v>25000.0</v>
      </c>
      <c r="I140" s="12" t="s">
        <v>12</v>
      </c>
      <c r="J140" s="12" t="s">
        <v>9</v>
      </c>
      <c r="K140" s="15">
        <v>15000.0</v>
      </c>
      <c r="L140" s="12" t="s">
        <v>12</v>
      </c>
      <c r="M140" s="12" t="s">
        <v>9</v>
      </c>
      <c r="N140" s="16"/>
      <c r="O140" s="12"/>
      <c r="P140" s="16">
        <f t="shared" si="4"/>
        <v>5000</v>
      </c>
      <c r="Q140" s="17" t="str">
        <f t="shared" si="2"/>
        <v>Pending</v>
      </c>
      <c r="R140" s="18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3" t="s">
        <v>152</v>
      </c>
      <c r="B141" s="9"/>
      <c r="C141" s="9"/>
      <c r="D141" s="7"/>
      <c r="E141" s="7"/>
      <c r="F141" s="7"/>
      <c r="G141" s="7"/>
      <c r="H141" s="7"/>
      <c r="I141" s="7"/>
      <c r="J141" s="7"/>
      <c r="K141" s="6">
        <v>20000.0</v>
      </c>
      <c r="L141" s="5" t="s">
        <v>12</v>
      </c>
      <c r="M141" s="5" t="s">
        <v>9</v>
      </c>
      <c r="N141" s="8"/>
      <c r="O141" s="5"/>
      <c r="P141" s="8">
        <f t="shared" si="4"/>
        <v>45000</v>
      </c>
      <c r="Q141" s="9" t="str">
        <f t="shared" si="2"/>
        <v>Pending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 t="s">
        <v>153</v>
      </c>
      <c r="B142" s="4">
        <v>15000.0</v>
      </c>
      <c r="C142" s="4" t="s">
        <v>9</v>
      </c>
      <c r="D142" s="5" t="s">
        <v>12</v>
      </c>
      <c r="E142" s="6">
        <v>20000.0</v>
      </c>
      <c r="F142" s="5" t="s">
        <v>12</v>
      </c>
      <c r="G142" s="5" t="s">
        <v>9</v>
      </c>
      <c r="H142" s="7"/>
      <c r="I142" s="7"/>
      <c r="J142" s="7"/>
      <c r="K142" s="7"/>
      <c r="L142" s="7"/>
      <c r="M142" s="7"/>
      <c r="N142" s="8"/>
      <c r="O142" s="7"/>
      <c r="P142" s="8">
        <f t="shared" si="4"/>
        <v>45000</v>
      </c>
      <c r="Q142" s="9" t="str">
        <f t="shared" si="2"/>
        <v>Pending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10" t="s">
        <v>154</v>
      </c>
      <c r="B143" s="17"/>
      <c r="C143" s="17"/>
      <c r="D143" s="14"/>
      <c r="E143" s="15">
        <v>15000.0</v>
      </c>
      <c r="F143" s="12" t="s">
        <v>12</v>
      </c>
      <c r="G143" s="12" t="s">
        <v>9</v>
      </c>
      <c r="H143" s="15">
        <v>20000.0</v>
      </c>
      <c r="I143" s="12" t="s">
        <v>12</v>
      </c>
      <c r="J143" s="12" t="s">
        <v>9</v>
      </c>
      <c r="K143" s="14"/>
      <c r="L143" s="14"/>
      <c r="M143" s="14"/>
      <c r="N143" s="16"/>
      <c r="O143" s="14"/>
      <c r="P143" s="16">
        <f t="shared" si="4"/>
        <v>30000</v>
      </c>
      <c r="Q143" s="17" t="str">
        <f t="shared" si="2"/>
        <v>Pending</v>
      </c>
      <c r="R143" s="18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3" t="s">
        <v>155</v>
      </c>
      <c r="B144" s="4">
        <v>15000.0</v>
      </c>
      <c r="C144" s="4" t="s">
        <v>9</v>
      </c>
      <c r="D144" s="5" t="s">
        <v>12</v>
      </c>
      <c r="E144" s="7"/>
      <c r="F144" s="7"/>
      <c r="G144" s="7"/>
      <c r="H144" s="7"/>
      <c r="I144" s="7"/>
      <c r="J144" s="7"/>
      <c r="K144" s="7"/>
      <c r="L144" s="7"/>
      <c r="M144" s="7"/>
      <c r="N144" s="8"/>
      <c r="O144" s="7"/>
      <c r="P144" s="8">
        <f t="shared" si="4"/>
        <v>65000</v>
      </c>
      <c r="Q144" s="9" t="str">
        <f t="shared" si="2"/>
        <v>Pending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10" t="s">
        <v>156</v>
      </c>
      <c r="B145" s="11">
        <v>15000.0</v>
      </c>
      <c r="C145" s="11" t="s">
        <v>9</v>
      </c>
      <c r="D145" s="12" t="s">
        <v>12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6"/>
      <c r="O145" s="14"/>
      <c r="P145" s="16">
        <f t="shared" si="4"/>
        <v>65000</v>
      </c>
      <c r="Q145" s="17" t="str">
        <f t="shared" si="2"/>
        <v>Pending</v>
      </c>
      <c r="R145" s="18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3" t="s">
        <v>157</v>
      </c>
      <c r="B146" s="4">
        <v>15000.0</v>
      </c>
      <c r="C146" s="4" t="s">
        <v>9</v>
      </c>
      <c r="D146" s="5" t="s">
        <v>12</v>
      </c>
      <c r="E146" s="7"/>
      <c r="F146" s="7"/>
      <c r="G146" s="7"/>
      <c r="H146" s="7"/>
      <c r="I146" s="7"/>
      <c r="J146" s="7"/>
      <c r="K146" s="7"/>
      <c r="L146" s="7"/>
      <c r="M146" s="7"/>
      <c r="N146" s="8"/>
      <c r="O146" s="7"/>
      <c r="P146" s="8">
        <f t="shared" si="4"/>
        <v>65000</v>
      </c>
      <c r="Q146" s="9" t="str">
        <f t="shared" si="2"/>
        <v>Pending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 t="s">
        <v>158</v>
      </c>
      <c r="B147" s="4">
        <v>15000.0</v>
      </c>
      <c r="C147" s="4" t="s">
        <v>9</v>
      </c>
      <c r="D147" s="5" t="s">
        <v>12</v>
      </c>
      <c r="E147" s="7"/>
      <c r="F147" s="7"/>
      <c r="G147" s="7"/>
      <c r="H147" s="7"/>
      <c r="I147" s="7"/>
      <c r="J147" s="7"/>
      <c r="K147" s="7"/>
      <c r="L147" s="7"/>
      <c r="M147" s="7"/>
      <c r="N147" s="8"/>
      <c r="O147" s="7"/>
      <c r="P147" s="8">
        <f t="shared" si="4"/>
        <v>65000</v>
      </c>
      <c r="Q147" s="9" t="str">
        <f t="shared" si="2"/>
        <v>Pending</v>
      </c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10" t="s">
        <v>159</v>
      </c>
      <c r="B148" s="11">
        <v>15000.0</v>
      </c>
      <c r="C148" s="11" t="s">
        <v>9</v>
      </c>
      <c r="D148" s="12" t="s">
        <v>12</v>
      </c>
      <c r="E148" s="15">
        <v>25000.0</v>
      </c>
      <c r="F148" s="12" t="s">
        <v>12</v>
      </c>
      <c r="G148" s="12" t="s">
        <v>9</v>
      </c>
      <c r="H148" s="15">
        <v>20000.0</v>
      </c>
      <c r="I148" s="12" t="s">
        <v>12</v>
      </c>
      <c r="J148" s="12" t="s">
        <v>9</v>
      </c>
      <c r="K148" s="15">
        <v>10000.0</v>
      </c>
      <c r="L148" s="12" t="s">
        <v>12</v>
      </c>
      <c r="M148" s="12" t="s">
        <v>9</v>
      </c>
      <c r="N148" s="16"/>
      <c r="O148" s="12"/>
      <c r="P148" s="16">
        <f t="shared" si="4"/>
        <v>10000</v>
      </c>
      <c r="Q148" s="17" t="str">
        <f t="shared" si="2"/>
        <v>Pending</v>
      </c>
      <c r="R148" s="18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0" t="s">
        <v>160</v>
      </c>
      <c r="B149" s="11">
        <v>15000.0</v>
      </c>
      <c r="C149" s="11" t="s">
        <v>9</v>
      </c>
      <c r="D149" s="12" t="s">
        <v>12</v>
      </c>
      <c r="E149" s="15">
        <v>20000.0</v>
      </c>
      <c r="F149" s="12" t="s">
        <v>12</v>
      </c>
      <c r="G149" s="12" t="s">
        <v>9</v>
      </c>
      <c r="H149" s="15">
        <v>15000.0</v>
      </c>
      <c r="I149" s="12" t="s">
        <v>12</v>
      </c>
      <c r="J149" s="12" t="s">
        <v>9</v>
      </c>
      <c r="K149" s="14"/>
      <c r="L149" s="14"/>
      <c r="M149" s="14"/>
      <c r="N149" s="16"/>
      <c r="O149" s="14"/>
      <c r="P149" s="16">
        <f t="shared" si="4"/>
        <v>30000</v>
      </c>
      <c r="Q149" s="17" t="str">
        <f t="shared" si="2"/>
        <v>Pending</v>
      </c>
      <c r="R149" s="18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0" t="s">
        <v>161</v>
      </c>
      <c r="B150" s="17"/>
      <c r="C150" s="17"/>
      <c r="D150" s="14"/>
      <c r="E150" s="15">
        <v>20000.0</v>
      </c>
      <c r="F150" s="12" t="s">
        <v>12</v>
      </c>
      <c r="G150" s="12" t="s">
        <v>9</v>
      </c>
      <c r="H150" s="15">
        <v>20000.0</v>
      </c>
      <c r="I150" s="12" t="s">
        <v>12</v>
      </c>
      <c r="J150" s="12" t="s">
        <v>9</v>
      </c>
      <c r="K150" s="14"/>
      <c r="L150" s="14"/>
      <c r="M150" s="14"/>
      <c r="N150" s="16"/>
      <c r="O150" s="14"/>
      <c r="P150" s="16">
        <f t="shared" si="4"/>
        <v>25000</v>
      </c>
      <c r="Q150" s="17" t="str">
        <f t="shared" si="2"/>
        <v>Pending</v>
      </c>
      <c r="R150" s="18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0" t="s">
        <v>162</v>
      </c>
      <c r="B151" s="11">
        <v>15000.0</v>
      </c>
      <c r="C151" s="11" t="s">
        <v>9</v>
      </c>
      <c r="D151" s="12" t="s">
        <v>12</v>
      </c>
      <c r="E151" s="15">
        <v>15000.0</v>
      </c>
      <c r="F151" s="12" t="s">
        <v>12</v>
      </c>
      <c r="G151" s="12" t="s">
        <v>9</v>
      </c>
      <c r="H151" s="15">
        <v>10000.0</v>
      </c>
      <c r="I151" s="12" t="s">
        <v>12</v>
      </c>
      <c r="J151" s="12" t="s">
        <v>9</v>
      </c>
      <c r="K151" s="15">
        <v>20000.0</v>
      </c>
      <c r="L151" s="12" t="s">
        <v>12</v>
      </c>
      <c r="M151" s="12" t="s">
        <v>9</v>
      </c>
      <c r="N151" s="16"/>
      <c r="O151" s="12"/>
      <c r="P151" s="16">
        <f t="shared" si="4"/>
        <v>20000</v>
      </c>
      <c r="Q151" s="17" t="str">
        <f t="shared" si="2"/>
        <v>Pending</v>
      </c>
      <c r="R151" s="18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0" t="s">
        <v>163</v>
      </c>
      <c r="B152" s="11">
        <v>15000.0</v>
      </c>
      <c r="C152" s="11" t="s">
        <v>9</v>
      </c>
      <c r="D152" s="12" t="s">
        <v>12</v>
      </c>
      <c r="E152" s="15">
        <v>25000.0</v>
      </c>
      <c r="F152" s="12" t="s">
        <v>12</v>
      </c>
      <c r="G152" s="12" t="s">
        <v>9</v>
      </c>
      <c r="H152" s="14"/>
      <c r="I152" s="14"/>
      <c r="J152" s="14"/>
      <c r="K152" s="14"/>
      <c r="L152" s="14"/>
      <c r="M152" s="14"/>
      <c r="N152" s="16"/>
      <c r="O152" s="14"/>
      <c r="P152" s="16">
        <f t="shared" si="4"/>
        <v>40000</v>
      </c>
      <c r="Q152" s="17" t="str">
        <f t="shared" si="2"/>
        <v>Pending</v>
      </c>
      <c r="R152" s="18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0" t="s">
        <v>164</v>
      </c>
      <c r="B153" s="17"/>
      <c r="C153" s="17"/>
      <c r="D153" s="14"/>
      <c r="E153" s="15">
        <v>20000.0</v>
      </c>
      <c r="F153" s="12" t="s">
        <v>12</v>
      </c>
      <c r="G153" s="12" t="s">
        <v>9</v>
      </c>
      <c r="H153" s="14"/>
      <c r="I153" s="14"/>
      <c r="J153" s="14"/>
      <c r="K153" s="14"/>
      <c r="L153" s="14"/>
      <c r="M153" s="14"/>
      <c r="N153" s="16"/>
      <c r="O153" s="14"/>
      <c r="P153" s="16">
        <f t="shared" si="4"/>
        <v>45000</v>
      </c>
      <c r="Q153" s="17" t="str">
        <f t="shared" si="2"/>
        <v>Pending</v>
      </c>
      <c r="R153" s="18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0" t="s">
        <v>165</v>
      </c>
      <c r="B154" s="11">
        <v>15000.0</v>
      </c>
      <c r="C154" s="11" t="s">
        <v>9</v>
      </c>
      <c r="D154" s="12" t="s">
        <v>12</v>
      </c>
      <c r="E154" s="15">
        <v>25000.0</v>
      </c>
      <c r="F154" s="12" t="s">
        <v>12</v>
      </c>
      <c r="G154" s="12" t="s">
        <v>9</v>
      </c>
      <c r="H154" s="14"/>
      <c r="I154" s="14"/>
      <c r="J154" s="14"/>
      <c r="K154" s="14"/>
      <c r="L154" s="14"/>
      <c r="M154" s="14"/>
      <c r="N154" s="16"/>
      <c r="O154" s="14"/>
      <c r="P154" s="16">
        <f t="shared" si="4"/>
        <v>40000</v>
      </c>
      <c r="Q154" s="17" t="str">
        <f t="shared" si="2"/>
        <v>Pending</v>
      </c>
      <c r="R154" s="18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3" t="s">
        <v>166</v>
      </c>
      <c r="B155" s="9"/>
      <c r="C155" s="9"/>
      <c r="D155" s="7"/>
      <c r="E155" s="6">
        <v>20000.0</v>
      </c>
      <c r="F155" s="5" t="s">
        <v>12</v>
      </c>
      <c r="G155" s="5" t="s">
        <v>9</v>
      </c>
      <c r="H155" s="6">
        <v>20000.0</v>
      </c>
      <c r="I155" s="5" t="s">
        <v>12</v>
      </c>
      <c r="J155" s="5" t="s">
        <v>9</v>
      </c>
      <c r="K155" s="7"/>
      <c r="L155" s="7"/>
      <c r="M155" s="7"/>
      <c r="N155" s="8"/>
      <c r="O155" s="7"/>
      <c r="P155" s="8">
        <f t="shared" si="4"/>
        <v>25000</v>
      </c>
      <c r="Q155" s="9" t="str">
        <f t="shared" si="2"/>
        <v>Pending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 t="s">
        <v>167</v>
      </c>
      <c r="B156" s="4">
        <v>15000.0</v>
      </c>
      <c r="C156" s="4" t="s">
        <v>9</v>
      </c>
      <c r="D156" s="5" t="s">
        <v>12</v>
      </c>
      <c r="E156" s="6">
        <v>15000.0</v>
      </c>
      <c r="F156" s="5" t="s">
        <v>12</v>
      </c>
      <c r="G156" s="5" t="s">
        <v>9</v>
      </c>
      <c r="H156" s="6">
        <v>20000.0</v>
      </c>
      <c r="I156" s="5" t="s">
        <v>12</v>
      </c>
      <c r="J156" s="5" t="s">
        <v>9</v>
      </c>
      <c r="K156" s="6">
        <v>25000.0</v>
      </c>
      <c r="L156" s="5" t="s">
        <v>12</v>
      </c>
      <c r="M156" s="5" t="s">
        <v>9</v>
      </c>
      <c r="N156" s="8"/>
      <c r="O156" s="5"/>
      <c r="P156" s="8">
        <f t="shared" si="4"/>
        <v>5000</v>
      </c>
      <c r="Q156" s="9" t="str">
        <f t="shared" si="2"/>
        <v>Pending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 t="s">
        <v>168</v>
      </c>
      <c r="B157" s="4">
        <v>15000.0</v>
      </c>
      <c r="C157" s="4" t="s">
        <v>9</v>
      </c>
      <c r="D157" s="5" t="s">
        <v>12</v>
      </c>
      <c r="E157" s="6">
        <v>19000.0</v>
      </c>
      <c r="F157" s="5" t="s">
        <v>12</v>
      </c>
      <c r="G157" s="5" t="s">
        <v>9</v>
      </c>
      <c r="H157" s="6">
        <v>16000.0</v>
      </c>
      <c r="I157" s="5" t="s">
        <v>12</v>
      </c>
      <c r="J157" s="5" t="s">
        <v>9</v>
      </c>
      <c r="K157" s="7"/>
      <c r="L157" s="7"/>
      <c r="M157" s="7"/>
      <c r="N157" s="8"/>
      <c r="O157" s="7"/>
      <c r="P157" s="8">
        <f t="shared" si="4"/>
        <v>30000</v>
      </c>
      <c r="Q157" s="9" t="str">
        <f t="shared" si="2"/>
        <v>Pending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 t="s">
        <v>169</v>
      </c>
      <c r="B158" s="4">
        <v>15000.0</v>
      </c>
      <c r="C158" s="4" t="s">
        <v>9</v>
      </c>
      <c r="D158" s="5" t="s">
        <v>12</v>
      </c>
      <c r="E158" s="7"/>
      <c r="F158" s="7"/>
      <c r="G158" s="7"/>
      <c r="H158" s="7"/>
      <c r="I158" s="7"/>
      <c r="J158" s="7"/>
      <c r="K158" s="7"/>
      <c r="L158" s="7"/>
      <c r="M158" s="7"/>
      <c r="N158" s="8"/>
      <c r="O158" s="7"/>
      <c r="P158" s="8">
        <f t="shared" si="4"/>
        <v>65000</v>
      </c>
      <c r="Q158" s="9" t="str">
        <f t="shared" si="2"/>
        <v>Pending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 t="s">
        <v>170</v>
      </c>
      <c r="B159" s="4">
        <v>15000.0</v>
      </c>
      <c r="C159" s="4" t="s">
        <v>9</v>
      </c>
      <c r="D159" s="5" t="s">
        <v>12</v>
      </c>
      <c r="E159" s="6">
        <v>15000.0</v>
      </c>
      <c r="F159" s="5" t="s">
        <v>12</v>
      </c>
      <c r="G159" s="5" t="s">
        <v>9</v>
      </c>
      <c r="H159" s="7"/>
      <c r="I159" s="7"/>
      <c r="J159" s="7"/>
      <c r="K159" s="7"/>
      <c r="L159" s="7"/>
      <c r="M159" s="7"/>
      <c r="N159" s="8"/>
      <c r="O159" s="7"/>
      <c r="P159" s="8">
        <f t="shared" si="4"/>
        <v>50000</v>
      </c>
      <c r="Q159" s="9" t="str">
        <f t="shared" si="2"/>
        <v>Pending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 t="s">
        <v>171</v>
      </c>
      <c r="B160" s="9"/>
      <c r="C160" s="9"/>
      <c r="D160" s="7"/>
      <c r="E160" s="6">
        <v>19000.0</v>
      </c>
      <c r="F160" s="5" t="s">
        <v>12</v>
      </c>
      <c r="G160" s="5" t="s">
        <v>9</v>
      </c>
      <c r="H160" s="7"/>
      <c r="I160" s="7"/>
      <c r="J160" s="7"/>
      <c r="K160" s="7"/>
      <c r="L160" s="7"/>
      <c r="M160" s="7"/>
      <c r="N160" s="8"/>
      <c r="O160" s="7"/>
      <c r="P160" s="8">
        <f t="shared" si="4"/>
        <v>46000</v>
      </c>
      <c r="Q160" s="9" t="str">
        <f t="shared" si="2"/>
        <v>Pending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 t="s">
        <v>172</v>
      </c>
      <c r="B161" s="9"/>
      <c r="C161" s="9"/>
      <c r="D161" s="7"/>
      <c r="E161" s="6">
        <v>10000.0</v>
      </c>
      <c r="F161" s="5" t="s">
        <v>12</v>
      </c>
      <c r="G161" s="5" t="s">
        <v>9</v>
      </c>
      <c r="H161" s="7"/>
      <c r="I161" s="7"/>
      <c r="J161" s="7"/>
      <c r="K161" s="6"/>
      <c r="L161" s="7"/>
      <c r="M161" s="7"/>
      <c r="N161" s="8"/>
      <c r="O161" s="7"/>
      <c r="P161" s="8">
        <f t="shared" si="4"/>
        <v>55000</v>
      </c>
      <c r="Q161" s="9" t="str">
        <f t="shared" si="2"/>
        <v>Pending</v>
      </c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 t="s">
        <v>173</v>
      </c>
      <c r="B162" s="4">
        <v>15000.0</v>
      </c>
      <c r="C162" s="4" t="s">
        <v>9</v>
      </c>
      <c r="D162" s="5" t="s">
        <v>12</v>
      </c>
      <c r="E162" s="6">
        <v>35000.0</v>
      </c>
      <c r="F162" s="5" t="s">
        <v>12</v>
      </c>
      <c r="G162" s="5" t="s">
        <v>9</v>
      </c>
      <c r="H162" s="7"/>
      <c r="I162" s="7"/>
      <c r="J162" s="7"/>
      <c r="K162" s="7"/>
      <c r="L162" s="7"/>
      <c r="M162" s="7"/>
      <c r="N162" s="8"/>
      <c r="O162" s="7"/>
      <c r="P162" s="8">
        <f t="shared" si="4"/>
        <v>30000</v>
      </c>
      <c r="Q162" s="9" t="str">
        <f t="shared" si="2"/>
        <v>Pending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 t="s">
        <v>174</v>
      </c>
      <c r="B163" s="4">
        <v>15000.0</v>
      </c>
      <c r="C163" s="4" t="s">
        <v>9</v>
      </c>
      <c r="D163" s="5" t="s">
        <v>12</v>
      </c>
      <c r="E163" s="6">
        <v>25000.0</v>
      </c>
      <c r="F163" s="5" t="s">
        <v>12</v>
      </c>
      <c r="G163" s="5" t="s">
        <v>9</v>
      </c>
      <c r="H163" s="6">
        <v>10000.0</v>
      </c>
      <c r="I163" s="5" t="s">
        <v>12</v>
      </c>
      <c r="J163" s="5" t="s">
        <v>9</v>
      </c>
      <c r="K163" s="7"/>
      <c r="L163" s="7"/>
      <c r="M163" s="7"/>
      <c r="N163" s="8"/>
      <c r="O163" s="7"/>
      <c r="P163" s="8">
        <f t="shared" si="4"/>
        <v>30000</v>
      </c>
      <c r="Q163" s="9" t="str">
        <f t="shared" si="2"/>
        <v>Pending</v>
      </c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10" t="s">
        <v>175</v>
      </c>
      <c r="B164" s="11">
        <v>15000.0</v>
      </c>
      <c r="C164" s="11" t="s">
        <v>9</v>
      </c>
      <c r="D164" s="12" t="s">
        <v>12</v>
      </c>
      <c r="E164" s="15">
        <v>10000.0</v>
      </c>
      <c r="F164" s="12" t="s">
        <v>12</v>
      </c>
      <c r="G164" s="12" t="s">
        <v>9</v>
      </c>
      <c r="H164" s="15">
        <v>20000.0</v>
      </c>
      <c r="I164" s="12" t="s">
        <v>12</v>
      </c>
      <c r="J164" s="12" t="s">
        <v>9</v>
      </c>
      <c r="K164" s="15">
        <v>40000.0</v>
      </c>
      <c r="L164" s="12" t="s">
        <v>12</v>
      </c>
      <c r="M164" s="12" t="s">
        <v>9</v>
      </c>
      <c r="N164" s="16"/>
      <c r="O164" s="12"/>
      <c r="P164" s="16">
        <f t="shared" si="4"/>
        <v>-5000</v>
      </c>
      <c r="Q164" s="17" t="str">
        <f t="shared" si="2"/>
        <v>Pending</v>
      </c>
      <c r="R164" s="18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3" t="s">
        <v>176</v>
      </c>
      <c r="B165" s="4">
        <v>15000.0</v>
      </c>
      <c r="C165" s="4" t="s">
        <v>9</v>
      </c>
      <c r="D165" s="5" t="s">
        <v>12</v>
      </c>
      <c r="E165" s="6">
        <v>25000.0</v>
      </c>
      <c r="F165" s="5" t="s">
        <v>12</v>
      </c>
      <c r="G165" s="5" t="s">
        <v>9</v>
      </c>
      <c r="H165" s="7"/>
      <c r="I165" s="7"/>
      <c r="J165" s="7"/>
      <c r="K165" s="7"/>
      <c r="L165" s="7"/>
      <c r="M165" s="7"/>
      <c r="N165" s="8"/>
      <c r="O165" s="7"/>
      <c r="P165" s="8">
        <f t="shared" si="4"/>
        <v>40000</v>
      </c>
      <c r="Q165" s="9" t="str">
        <f t="shared" si="2"/>
        <v>Pending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 t="s">
        <v>177</v>
      </c>
      <c r="B166" s="9"/>
      <c r="C166" s="9"/>
      <c r="D166" s="7"/>
      <c r="E166" s="6">
        <v>20000.0</v>
      </c>
      <c r="F166" s="5" t="s">
        <v>12</v>
      </c>
      <c r="G166" s="5" t="s">
        <v>9</v>
      </c>
      <c r="H166" s="6">
        <v>20000.0</v>
      </c>
      <c r="I166" s="5" t="s">
        <v>12</v>
      </c>
      <c r="J166" s="5" t="s">
        <v>9</v>
      </c>
      <c r="K166" s="7"/>
      <c r="L166" s="7"/>
      <c r="M166" s="7"/>
      <c r="N166" s="8"/>
      <c r="O166" s="7"/>
      <c r="P166" s="8">
        <f t="shared" si="4"/>
        <v>25000</v>
      </c>
      <c r="Q166" s="9" t="str">
        <f t="shared" si="2"/>
        <v>Pending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 t="s">
        <v>178</v>
      </c>
      <c r="B167" s="9"/>
      <c r="C167" s="9"/>
      <c r="D167" s="7"/>
      <c r="E167" s="7"/>
      <c r="F167" s="7"/>
      <c r="G167" s="7"/>
      <c r="H167" s="6">
        <v>20000.0</v>
      </c>
      <c r="I167" s="5" t="s">
        <v>12</v>
      </c>
      <c r="J167" s="5" t="s">
        <v>9</v>
      </c>
      <c r="K167" s="7"/>
      <c r="L167" s="7"/>
      <c r="M167" s="7"/>
      <c r="N167" s="8"/>
      <c r="O167" s="7"/>
      <c r="P167" s="8">
        <f t="shared" si="4"/>
        <v>45000</v>
      </c>
      <c r="Q167" s="9" t="str">
        <f t="shared" si="2"/>
        <v>Pending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 t="s">
        <v>179</v>
      </c>
      <c r="B168" s="9"/>
      <c r="C168" s="9"/>
      <c r="D168" s="7"/>
      <c r="E168" s="6">
        <v>20000.0</v>
      </c>
      <c r="F168" s="5" t="s">
        <v>12</v>
      </c>
      <c r="G168" s="5" t="s">
        <v>9</v>
      </c>
      <c r="H168" s="6">
        <v>20000.0</v>
      </c>
      <c r="I168" s="5" t="s">
        <v>12</v>
      </c>
      <c r="J168" s="5" t="s">
        <v>9</v>
      </c>
      <c r="K168" s="7"/>
      <c r="L168" s="7"/>
      <c r="M168" s="7"/>
      <c r="N168" s="8"/>
      <c r="O168" s="7"/>
      <c r="P168" s="8">
        <f t="shared" si="4"/>
        <v>25000</v>
      </c>
      <c r="Q168" s="9" t="str">
        <f t="shared" si="2"/>
        <v>Pending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10" t="s">
        <v>180</v>
      </c>
      <c r="B169" s="17"/>
      <c r="C169" s="17"/>
      <c r="D169" s="14"/>
      <c r="E169" s="15">
        <v>15000.0</v>
      </c>
      <c r="F169" s="12" t="s">
        <v>12</v>
      </c>
      <c r="G169" s="12" t="s">
        <v>9</v>
      </c>
      <c r="H169" s="15">
        <v>25000.0</v>
      </c>
      <c r="I169" s="12" t="s">
        <v>12</v>
      </c>
      <c r="J169" s="12" t="s">
        <v>9</v>
      </c>
      <c r="K169" s="14"/>
      <c r="L169" s="14"/>
      <c r="M169" s="14"/>
      <c r="N169" s="16"/>
      <c r="O169" s="14"/>
      <c r="P169" s="16">
        <f t="shared" si="4"/>
        <v>25000</v>
      </c>
      <c r="Q169" s="17" t="str">
        <f t="shared" si="2"/>
        <v>Pending</v>
      </c>
      <c r="R169" s="18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0" t="s">
        <v>181</v>
      </c>
      <c r="B170" s="17"/>
      <c r="C170" s="17"/>
      <c r="D170" s="14"/>
      <c r="E170" s="15">
        <v>15000.0</v>
      </c>
      <c r="F170" s="12" t="s">
        <v>12</v>
      </c>
      <c r="G170" s="12" t="s">
        <v>9</v>
      </c>
      <c r="H170" s="15">
        <v>20000.0</v>
      </c>
      <c r="I170" s="12" t="s">
        <v>12</v>
      </c>
      <c r="J170" s="12" t="s">
        <v>9</v>
      </c>
      <c r="K170" s="14"/>
      <c r="L170" s="14"/>
      <c r="M170" s="14"/>
      <c r="N170" s="16"/>
      <c r="O170" s="14"/>
      <c r="P170" s="16">
        <f t="shared" si="4"/>
        <v>30000</v>
      </c>
      <c r="Q170" s="17" t="str">
        <f t="shared" si="2"/>
        <v>Pending</v>
      </c>
      <c r="R170" s="18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3" t="s">
        <v>182</v>
      </c>
      <c r="B171" s="9"/>
      <c r="C171" s="9"/>
      <c r="D171" s="7"/>
      <c r="E171" s="6">
        <v>20000.0</v>
      </c>
      <c r="F171" s="5" t="s">
        <v>12</v>
      </c>
      <c r="G171" s="5" t="s">
        <v>9</v>
      </c>
      <c r="H171" s="6">
        <v>20000.0</v>
      </c>
      <c r="I171" s="5" t="s">
        <v>12</v>
      </c>
      <c r="J171" s="5" t="s">
        <v>9</v>
      </c>
      <c r="K171" s="7"/>
      <c r="L171" s="7"/>
      <c r="M171" s="7"/>
      <c r="N171" s="8"/>
      <c r="O171" s="7"/>
      <c r="P171" s="8">
        <f t="shared" si="4"/>
        <v>25000</v>
      </c>
      <c r="Q171" s="9" t="str">
        <f t="shared" si="2"/>
        <v>Pending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 t="s">
        <v>183</v>
      </c>
      <c r="B172" s="9"/>
      <c r="C172" s="9"/>
      <c r="D172" s="7"/>
      <c r="E172" s="7"/>
      <c r="F172" s="7"/>
      <c r="G172" s="7"/>
      <c r="H172" s="6">
        <v>20000.0</v>
      </c>
      <c r="I172" s="5" t="s">
        <v>12</v>
      </c>
      <c r="J172" s="5" t="s">
        <v>9</v>
      </c>
      <c r="K172" s="6">
        <v>30000.0</v>
      </c>
      <c r="L172" s="5" t="s">
        <v>12</v>
      </c>
      <c r="M172" s="5" t="s">
        <v>9</v>
      </c>
      <c r="N172" s="8"/>
      <c r="O172" s="5"/>
      <c r="P172" s="8">
        <f t="shared" si="4"/>
        <v>15000</v>
      </c>
      <c r="Q172" s="9" t="str">
        <f t="shared" si="2"/>
        <v>Pending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 t="s">
        <v>184</v>
      </c>
      <c r="B173" s="9"/>
      <c r="C173" s="9"/>
      <c r="D173" s="7"/>
      <c r="E173" s="7"/>
      <c r="F173" s="7"/>
      <c r="G173" s="7"/>
      <c r="H173" s="6">
        <v>20000.0</v>
      </c>
      <c r="I173" s="5" t="s">
        <v>12</v>
      </c>
      <c r="J173" s="5" t="s">
        <v>9</v>
      </c>
      <c r="K173" s="7"/>
      <c r="L173" s="7"/>
      <c r="M173" s="7"/>
      <c r="N173" s="8"/>
      <c r="O173" s="7"/>
      <c r="P173" s="8">
        <f t="shared" si="4"/>
        <v>45000</v>
      </c>
      <c r="Q173" s="9" t="str">
        <f t="shared" si="2"/>
        <v>Pending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 t="s">
        <v>185</v>
      </c>
      <c r="B174" s="9"/>
      <c r="C174" s="9"/>
      <c r="D174" s="7"/>
      <c r="E174" s="6">
        <v>12000.0</v>
      </c>
      <c r="F174" s="5" t="s">
        <v>12</v>
      </c>
      <c r="G174" s="5" t="s">
        <v>9</v>
      </c>
      <c r="H174" s="6">
        <v>20000.0</v>
      </c>
      <c r="I174" s="5" t="s">
        <v>12</v>
      </c>
      <c r="J174" s="5" t="s">
        <v>9</v>
      </c>
      <c r="K174" s="7"/>
      <c r="L174" s="7"/>
      <c r="M174" s="7"/>
      <c r="N174" s="8"/>
      <c r="O174" s="7"/>
      <c r="P174" s="8">
        <f t="shared" si="4"/>
        <v>33000</v>
      </c>
      <c r="Q174" s="9" t="str">
        <f t="shared" si="2"/>
        <v>Pending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10" t="s">
        <v>186</v>
      </c>
      <c r="B175" s="17"/>
      <c r="C175" s="17"/>
      <c r="D175" s="14"/>
      <c r="E175" s="14"/>
      <c r="F175" s="14"/>
      <c r="G175" s="14"/>
      <c r="H175" s="15">
        <v>20000.0</v>
      </c>
      <c r="I175" s="12" t="s">
        <v>10</v>
      </c>
      <c r="J175" s="12" t="s">
        <v>9</v>
      </c>
      <c r="K175" s="14"/>
      <c r="L175" s="14"/>
      <c r="M175" s="14"/>
      <c r="N175" s="16"/>
      <c r="O175" s="14"/>
      <c r="P175" s="16">
        <f t="shared" si="4"/>
        <v>45000</v>
      </c>
      <c r="Q175" s="17" t="str">
        <f t="shared" si="2"/>
        <v>Pending</v>
      </c>
      <c r="R175" s="18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3" t="s">
        <v>187</v>
      </c>
      <c r="B176" s="4">
        <v>15000.0</v>
      </c>
      <c r="C176" s="4" t="s">
        <v>9</v>
      </c>
      <c r="D176" s="5" t="s">
        <v>12</v>
      </c>
      <c r="E176" s="7"/>
      <c r="F176" s="7"/>
      <c r="G176" s="7"/>
      <c r="H176" s="7"/>
      <c r="I176" s="7"/>
      <c r="J176" s="7"/>
      <c r="K176" s="7"/>
      <c r="L176" s="7"/>
      <c r="M176" s="7"/>
      <c r="N176" s="8"/>
      <c r="O176" s="7"/>
      <c r="P176" s="8">
        <f t="shared" si="4"/>
        <v>65000</v>
      </c>
      <c r="Q176" s="9" t="str">
        <f t="shared" si="2"/>
        <v>Pending</v>
      </c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 t="s">
        <v>188</v>
      </c>
      <c r="B177" s="4">
        <v>15000.0</v>
      </c>
      <c r="C177" s="4" t="s">
        <v>9</v>
      </c>
      <c r="D177" s="5" t="s">
        <v>12</v>
      </c>
      <c r="E177" s="7"/>
      <c r="F177" s="7"/>
      <c r="G177" s="7"/>
      <c r="H177" s="7"/>
      <c r="I177" s="7"/>
      <c r="J177" s="7"/>
      <c r="K177" s="7"/>
      <c r="L177" s="7"/>
      <c r="M177" s="7"/>
      <c r="N177" s="8"/>
      <c r="O177" s="7"/>
      <c r="P177" s="8">
        <f t="shared" si="4"/>
        <v>65000</v>
      </c>
      <c r="Q177" s="9" t="str">
        <f t="shared" si="2"/>
        <v>Pending</v>
      </c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 t="s">
        <v>189</v>
      </c>
      <c r="B178" s="4">
        <v>15000.0</v>
      </c>
      <c r="C178" s="4" t="s">
        <v>9</v>
      </c>
      <c r="D178" s="5" t="s">
        <v>12</v>
      </c>
      <c r="E178" s="7"/>
      <c r="F178" s="7"/>
      <c r="G178" s="7"/>
      <c r="H178" s="7"/>
      <c r="I178" s="7"/>
      <c r="J178" s="7"/>
      <c r="K178" s="7"/>
      <c r="L178" s="7"/>
      <c r="M178" s="7"/>
      <c r="N178" s="8"/>
      <c r="O178" s="7"/>
      <c r="P178" s="8">
        <f t="shared" si="4"/>
        <v>65000</v>
      </c>
      <c r="Q178" s="9" t="str">
        <f t="shared" si="2"/>
        <v>Pending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10" t="s">
        <v>190</v>
      </c>
      <c r="B179" s="17"/>
      <c r="C179" s="17"/>
      <c r="D179" s="14"/>
      <c r="E179" s="14"/>
      <c r="F179" s="14"/>
      <c r="G179" s="14"/>
      <c r="H179" s="15">
        <v>20000.0</v>
      </c>
      <c r="I179" s="12" t="s">
        <v>12</v>
      </c>
      <c r="J179" s="12" t="s">
        <v>9</v>
      </c>
      <c r="K179" s="14"/>
      <c r="L179" s="14"/>
      <c r="M179" s="14"/>
      <c r="N179" s="16"/>
      <c r="O179" s="14"/>
      <c r="P179" s="16">
        <f t="shared" si="4"/>
        <v>45000</v>
      </c>
      <c r="Q179" s="17" t="str">
        <f t="shared" si="2"/>
        <v>Pending</v>
      </c>
      <c r="R179" s="18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3" t="s">
        <v>191</v>
      </c>
      <c r="B180" s="4">
        <v>15000.0</v>
      </c>
      <c r="C180" s="4" t="s">
        <v>9</v>
      </c>
      <c r="D180" s="5" t="s">
        <v>12</v>
      </c>
      <c r="E180" s="6">
        <v>20000.0</v>
      </c>
      <c r="F180" s="5" t="s">
        <v>12</v>
      </c>
      <c r="G180" s="5" t="s">
        <v>9</v>
      </c>
      <c r="H180" s="7"/>
      <c r="I180" s="7"/>
      <c r="J180" s="7"/>
      <c r="K180" s="7"/>
      <c r="L180" s="7"/>
      <c r="M180" s="7"/>
      <c r="N180" s="8"/>
      <c r="O180" s="7"/>
      <c r="P180" s="8">
        <f t="shared" si="4"/>
        <v>45000</v>
      </c>
      <c r="Q180" s="9" t="str">
        <f t="shared" si="2"/>
        <v>Pending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 t="s">
        <v>192</v>
      </c>
      <c r="B181" s="9"/>
      <c r="C181" s="9"/>
      <c r="D181" s="7"/>
      <c r="E181" s="7"/>
      <c r="F181" s="7"/>
      <c r="G181" s="7"/>
      <c r="H181" s="6">
        <v>20000.0</v>
      </c>
      <c r="I181" s="5" t="s">
        <v>12</v>
      </c>
      <c r="J181" s="5" t="s">
        <v>9</v>
      </c>
      <c r="K181" s="7"/>
      <c r="L181" s="7"/>
      <c r="M181" s="7"/>
      <c r="N181" s="8"/>
      <c r="O181" s="7"/>
      <c r="P181" s="8">
        <f t="shared" si="4"/>
        <v>45000</v>
      </c>
      <c r="Q181" s="9" t="str">
        <f t="shared" si="2"/>
        <v>Pending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 t="s">
        <v>193</v>
      </c>
      <c r="B182" s="4">
        <v>15000.0</v>
      </c>
      <c r="C182" s="4" t="s">
        <v>9</v>
      </c>
      <c r="D182" s="5" t="s">
        <v>12</v>
      </c>
      <c r="E182" s="7"/>
      <c r="F182" s="7"/>
      <c r="G182" s="7"/>
      <c r="H182" s="7"/>
      <c r="I182" s="7"/>
      <c r="J182" s="7"/>
      <c r="K182" s="7"/>
      <c r="L182" s="7"/>
      <c r="M182" s="7"/>
      <c r="N182" s="8"/>
      <c r="O182" s="7"/>
      <c r="P182" s="8">
        <f t="shared" si="4"/>
        <v>65000</v>
      </c>
      <c r="Q182" s="9" t="str">
        <f t="shared" si="2"/>
        <v>Pending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0" t="s">
        <v>194</v>
      </c>
      <c r="B183" s="21">
        <v>15000.0</v>
      </c>
      <c r="C183" s="21" t="s">
        <v>9</v>
      </c>
      <c r="D183" s="22" t="s">
        <v>12</v>
      </c>
      <c r="E183" s="23">
        <v>20000.0</v>
      </c>
      <c r="F183" s="22" t="s">
        <v>12</v>
      </c>
      <c r="G183" s="22" t="s">
        <v>9</v>
      </c>
      <c r="H183" s="23">
        <v>20000.0</v>
      </c>
      <c r="I183" s="22" t="s">
        <v>12</v>
      </c>
      <c r="J183" s="22" t="s">
        <v>9</v>
      </c>
      <c r="K183" s="23">
        <v>25000.0</v>
      </c>
      <c r="L183" s="22" t="s">
        <v>12</v>
      </c>
      <c r="M183" s="22" t="s">
        <v>9</v>
      </c>
      <c r="N183" s="24"/>
      <c r="O183" s="22"/>
      <c r="P183" s="24">
        <f t="shared" si="4"/>
        <v>0</v>
      </c>
      <c r="Q183" s="25" t="str">
        <f t="shared" si="2"/>
        <v>Paid</v>
      </c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3" t="s">
        <v>195</v>
      </c>
      <c r="B184" s="4">
        <v>15000.0</v>
      </c>
      <c r="C184" s="4" t="s">
        <v>9</v>
      </c>
      <c r="D184" s="5" t="s">
        <v>10</v>
      </c>
      <c r="E184" s="7"/>
      <c r="F184" s="5"/>
      <c r="G184" s="5"/>
      <c r="H184" s="7"/>
      <c r="I184" s="7"/>
      <c r="J184" s="7"/>
      <c r="K184" s="7"/>
      <c r="L184" s="7"/>
      <c r="M184" s="7"/>
      <c r="N184" s="8"/>
      <c r="O184" s="7"/>
      <c r="P184" s="8">
        <f t="shared" si="4"/>
        <v>65000</v>
      </c>
      <c r="Q184" s="9" t="str">
        <f t="shared" si="2"/>
        <v>Pending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 t="s">
        <v>196</v>
      </c>
      <c r="B185" s="4">
        <v>15000.0</v>
      </c>
      <c r="C185" s="4" t="s">
        <v>9</v>
      </c>
      <c r="D185" s="5" t="s">
        <v>12</v>
      </c>
      <c r="E185" s="6">
        <v>25000.0</v>
      </c>
      <c r="F185" s="5" t="s">
        <v>12</v>
      </c>
      <c r="G185" s="5" t="s">
        <v>9</v>
      </c>
      <c r="H185" s="6">
        <v>20000.0</v>
      </c>
      <c r="I185" s="5" t="s">
        <v>12</v>
      </c>
      <c r="J185" s="5" t="s">
        <v>9</v>
      </c>
      <c r="K185" s="7"/>
      <c r="L185" s="7"/>
      <c r="M185" s="7"/>
      <c r="N185" s="8"/>
      <c r="O185" s="7"/>
      <c r="P185" s="8">
        <f t="shared" si="4"/>
        <v>20000</v>
      </c>
      <c r="Q185" s="9" t="str">
        <f t="shared" si="2"/>
        <v>Pending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 t="s">
        <v>197</v>
      </c>
      <c r="B186" s="9"/>
      <c r="C186" s="9"/>
      <c r="D186" s="7"/>
      <c r="E186" s="6">
        <v>40000.0</v>
      </c>
      <c r="F186" s="5" t="s">
        <v>12</v>
      </c>
      <c r="G186" s="5" t="s">
        <v>9</v>
      </c>
      <c r="H186" s="7"/>
      <c r="I186" s="7"/>
      <c r="J186" s="7"/>
      <c r="K186" s="7"/>
      <c r="L186" s="7"/>
      <c r="M186" s="7"/>
      <c r="N186" s="8"/>
      <c r="O186" s="7"/>
      <c r="P186" s="8">
        <f t="shared" si="4"/>
        <v>25000</v>
      </c>
      <c r="Q186" s="9" t="str">
        <f t="shared" si="2"/>
        <v>Pending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10" t="s">
        <v>198</v>
      </c>
      <c r="B187" s="17"/>
      <c r="C187" s="17"/>
      <c r="D187" s="14"/>
      <c r="E187" s="15">
        <v>20000.0</v>
      </c>
      <c r="F187" s="12" t="s">
        <v>12</v>
      </c>
      <c r="G187" s="12" t="s">
        <v>9</v>
      </c>
      <c r="H187" s="14"/>
      <c r="I187" s="14"/>
      <c r="J187" s="14"/>
      <c r="K187" s="14"/>
      <c r="L187" s="14"/>
      <c r="M187" s="14"/>
      <c r="N187" s="16"/>
      <c r="O187" s="14"/>
      <c r="P187" s="16">
        <f t="shared" si="4"/>
        <v>45000</v>
      </c>
      <c r="Q187" s="17" t="str">
        <f t="shared" si="2"/>
        <v>Pending</v>
      </c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3" t="s">
        <v>199</v>
      </c>
      <c r="B188" s="4">
        <v>15000.0</v>
      </c>
      <c r="C188" s="4" t="s">
        <v>9</v>
      </c>
      <c r="D188" s="5" t="s">
        <v>12</v>
      </c>
      <c r="E188" s="7"/>
      <c r="F188" s="7"/>
      <c r="G188" s="7"/>
      <c r="H188" s="7"/>
      <c r="I188" s="7"/>
      <c r="J188" s="7"/>
      <c r="K188" s="7"/>
      <c r="L188" s="7"/>
      <c r="M188" s="7"/>
      <c r="N188" s="8"/>
      <c r="O188" s="7"/>
      <c r="P188" s="8">
        <f t="shared" si="4"/>
        <v>65000</v>
      </c>
      <c r="Q188" s="9" t="str">
        <f t="shared" si="2"/>
        <v>Pending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0" t="s">
        <v>200</v>
      </c>
      <c r="B189" s="21">
        <v>15000.0</v>
      </c>
      <c r="C189" s="21" t="s">
        <v>9</v>
      </c>
      <c r="D189" s="22" t="s">
        <v>12</v>
      </c>
      <c r="E189" s="23">
        <v>20000.0</v>
      </c>
      <c r="F189" s="22" t="s">
        <v>12</v>
      </c>
      <c r="G189" s="22" t="s">
        <v>9</v>
      </c>
      <c r="H189" s="23">
        <v>45000.0</v>
      </c>
      <c r="I189" s="22" t="s">
        <v>12</v>
      </c>
      <c r="J189" s="22" t="s">
        <v>9</v>
      </c>
      <c r="K189" s="29"/>
      <c r="L189" s="29"/>
      <c r="M189" s="29"/>
      <c r="N189" s="24"/>
      <c r="O189" s="29"/>
      <c r="P189" s="24">
        <f t="shared" si="4"/>
        <v>0</v>
      </c>
      <c r="Q189" s="25" t="str">
        <f t="shared" si="2"/>
        <v>Paid</v>
      </c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3" t="s">
        <v>201</v>
      </c>
      <c r="B190" s="4">
        <v>15000.0</v>
      </c>
      <c r="C190" s="4" t="s">
        <v>9</v>
      </c>
      <c r="D190" s="5" t="s">
        <v>12</v>
      </c>
      <c r="E190" s="6">
        <v>20000.0</v>
      </c>
      <c r="F190" s="5" t="s">
        <v>12</v>
      </c>
      <c r="G190" s="5" t="s">
        <v>9</v>
      </c>
      <c r="H190" s="7"/>
      <c r="I190" s="7"/>
      <c r="J190" s="7"/>
      <c r="K190" s="7"/>
      <c r="L190" s="7"/>
      <c r="M190" s="7"/>
      <c r="N190" s="8"/>
      <c r="O190" s="7"/>
      <c r="P190" s="8">
        <f t="shared" si="4"/>
        <v>45000</v>
      </c>
      <c r="Q190" s="9" t="str">
        <f t="shared" si="2"/>
        <v>Pending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 t="s">
        <v>202</v>
      </c>
      <c r="B191" s="4">
        <v>15000.0</v>
      </c>
      <c r="C191" s="4" t="s">
        <v>9</v>
      </c>
      <c r="D191" s="5" t="s">
        <v>12</v>
      </c>
      <c r="E191" s="6">
        <v>30000.0</v>
      </c>
      <c r="F191" s="5" t="s">
        <v>12</v>
      </c>
      <c r="G191" s="5" t="s">
        <v>9</v>
      </c>
      <c r="H191" s="6">
        <v>20000.0</v>
      </c>
      <c r="I191" s="5" t="s">
        <v>12</v>
      </c>
      <c r="J191" s="5" t="s">
        <v>9</v>
      </c>
      <c r="K191" s="7"/>
      <c r="L191" s="7"/>
      <c r="M191" s="7"/>
      <c r="N191" s="8"/>
      <c r="O191" s="7"/>
      <c r="P191" s="8">
        <f t="shared" si="4"/>
        <v>15000</v>
      </c>
      <c r="Q191" s="9" t="str">
        <f t="shared" si="2"/>
        <v>Pending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 t="s">
        <v>203</v>
      </c>
      <c r="B192" s="9"/>
      <c r="C192" s="9"/>
      <c r="D192" s="7"/>
      <c r="E192" s="6">
        <v>20000.0</v>
      </c>
      <c r="F192" s="5" t="s">
        <v>12</v>
      </c>
      <c r="G192" s="5" t="s">
        <v>9</v>
      </c>
      <c r="H192" s="7"/>
      <c r="I192" s="7"/>
      <c r="J192" s="7"/>
      <c r="K192" s="7"/>
      <c r="L192" s="7"/>
      <c r="M192" s="7"/>
      <c r="N192" s="8"/>
      <c r="O192" s="7"/>
      <c r="P192" s="8">
        <f t="shared" si="4"/>
        <v>45000</v>
      </c>
      <c r="Q192" s="9" t="str">
        <f t="shared" si="2"/>
        <v>Pending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 t="s">
        <v>204</v>
      </c>
      <c r="B193" s="4">
        <v>15000.0</v>
      </c>
      <c r="C193" s="4" t="s">
        <v>9</v>
      </c>
      <c r="D193" s="5" t="s">
        <v>12</v>
      </c>
      <c r="E193" s="6">
        <v>15000.0</v>
      </c>
      <c r="F193" s="5" t="s">
        <v>12</v>
      </c>
      <c r="G193" s="5" t="s">
        <v>9</v>
      </c>
      <c r="H193" s="7"/>
      <c r="I193" s="7"/>
      <c r="J193" s="7"/>
      <c r="K193" s="7"/>
      <c r="L193" s="7"/>
      <c r="M193" s="7"/>
      <c r="N193" s="8"/>
      <c r="O193" s="7"/>
      <c r="P193" s="8">
        <f t="shared" si="4"/>
        <v>50000</v>
      </c>
      <c r="Q193" s="9" t="str">
        <f t="shared" si="2"/>
        <v>Pending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 t="s">
        <v>205</v>
      </c>
      <c r="B194" s="4">
        <v>15000.0</v>
      </c>
      <c r="C194" s="4" t="s">
        <v>9</v>
      </c>
      <c r="D194" s="5" t="s">
        <v>12</v>
      </c>
      <c r="E194" s="6">
        <v>20000.0</v>
      </c>
      <c r="F194" s="5" t="s">
        <v>12</v>
      </c>
      <c r="G194" s="5" t="s">
        <v>9</v>
      </c>
      <c r="H194" s="7"/>
      <c r="I194" s="7"/>
      <c r="J194" s="7"/>
      <c r="K194" s="7"/>
      <c r="L194" s="7"/>
      <c r="M194" s="7"/>
      <c r="N194" s="8"/>
      <c r="O194" s="7"/>
      <c r="P194" s="8">
        <f t="shared" si="4"/>
        <v>45000</v>
      </c>
      <c r="Q194" s="9" t="str">
        <f t="shared" si="2"/>
        <v>Pending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 t="s">
        <v>206</v>
      </c>
      <c r="B195" s="4">
        <v>15000.0</v>
      </c>
      <c r="C195" s="4" t="s">
        <v>9</v>
      </c>
      <c r="D195" s="5" t="s">
        <v>12</v>
      </c>
      <c r="E195" s="7"/>
      <c r="F195" s="7"/>
      <c r="G195" s="7"/>
      <c r="H195" s="7"/>
      <c r="I195" s="7"/>
      <c r="J195" s="7"/>
      <c r="K195" s="7"/>
      <c r="L195" s="7"/>
      <c r="M195" s="7"/>
      <c r="N195" s="8"/>
      <c r="O195" s="7"/>
      <c r="P195" s="8">
        <f t="shared" si="4"/>
        <v>65000</v>
      </c>
      <c r="Q195" s="9" t="str">
        <f t="shared" si="2"/>
        <v>Pending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 t="s">
        <v>207</v>
      </c>
      <c r="B196" s="4">
        <v>15000.0</v>
      </c>
      <c r="C196" s="4" t="s">
        <v>9</v>
      </c>
      <c r="D196" s="5" t="s">
        <v>12</v>
      </c>
      <c r="E196" s="7"/>
      <c r="F196" s="7"/>
      <c r="G196" s="7"/>
      <c r="H196" s="7"/>
      <c r="I196" s="7"/>
      <c r="J196" s="7"/>
      <c r="K196" s="7"/>
      <c r="L196" s="7"/>
      <c r="M196" s="7"/>
      <c r="N196" s="8"/>
      <c r="O196" s="7"/>
      <c r="P196" s="8">
        <f t="shared" si="4"/>
        <v>65000</v>
      </c>
      <c r="Q196" s="9" t="str">
        <f t="shared" si="2"/>
        <v>Pending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 t="s">
        <v>208</v>
      </c>
      <c r="B197" s="9"/>
      <c r="C197" s="9"/>
      <c r="D197" s="7"/>
      <c r="E197" s="6">
        <v>20000.0</v>
      </c>
      <c r="F197" s="5" t="s">
        <v>12</v>
      </c>
      <c r="G197" s="5" t="s">
        <v>9</v>
      </c>
      <c r="H197" s="7"/>
      <c r="I197" s="7"/>
      <c r="J197" s="7"/>
      <c r="K197" s="7"/>
      <c r="L197" s="7"/>
      <c r="M197" s="7"/>
      <c r="N197" s="8"/>
      <c r="O197" s="7"/>
      <c r="P197" s="8">
        <f t="shared" si="4"/>
        <v>45000</v>
      </c>
      <c r="Q197" s="9" t="str">
        <f t="shared" si="2"/>
        <v>Pending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 t="s">
        <v>209</v>
      </c>
      <c r="B198" s="4">
        <v>15000.0</v>
      </c>
      <c r="C198" s="4" t="s">
        <v>9</v>
      </c>
      <c r="D198" s="5" t="s">
        <v>12</v>
      </c>
      <c r="E198" s="7"/>
      <c r="F198" s="7"/>
      <c r="G198" s="7"/>
      <c r="H198" s="7"/>
      <c r="I198" s="7"/>
      <c r="J198" s="7"/>
      <c r="K198" s="7"/>
      <c r="L198" s="7"/>
      <c r="M198" s="7"/>
      <c r="N198" s="8"/>
      <c r="O198" s="7"/>
      <c r="P198" s="8">
        <f t="shared" si="4"/>
        <v>65000</v>
      </c>
      <c r="Q198" s="9" t="str">
        <f t="shared" si="2"/>
        <v>Pending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 t="s">
        <v>210</v>
      </c>
      <c r="B199" s="4">
        <v>15000.0</v>
      </c>
      <c r="C199" s="4" t="s">
        <v>9</v>
      </c>
      <c r="D199" s="5" t="s">
        <v>12</v>
      </c>
      <c r="E199" s="7"/>
      <c r="F199" s="7"/>
      <c r="G199" s="7"/>
      <c r="H199" s="7"/>
      <c r="I199" s="7"/>
      <c r="J199" s="7"/>
      <c r="K199" s="7"/>
      <c r="L199" s="7"/>
      <c r="M199" s="7"/>
      <c r="N199" s="8"/>
      <c r="O199" s="7"/>
      <c r="P199" s="8">
        <f t="shared" si="4"/>
        <v>65000</v>
      </c>
      <c r="Q199" s="9" t="str">
        <f t="shared" si="2"/>
        <v>Pending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 t="s">
        <v>211</v>
      </c>
      <c r="B200" s="9"/>
      <c r="C200" s="9"/>
      <c r="D200" s="7"/>
      <c r="E200" s="7"/>
      <c r="F200" s="7"/>
      <c r="G200" s="7"/>
      <c r="H200" s="7"/>
      <c r="I200" s="7"/>
      <c r="J200" s="7"/>
      <c r="K200" s="6">
        <v>20000.0</v>
      </c>
      <c r="L200" s="5" t="s">
        <v>12</v>
      </c>
      <c r="M200" s="5" t="s">
        <v>9</v>
      </c>
      <c r="N200" s="8"/>
      <c r="O200" s="5"/>
      <c r="P200" s="8">
        <f t="shared" si="4"/>
        <v>45000</v>
      </c>
      <c r="Q200" s="9" t="str">
        <f t="shared" si="2"/>
        <v>Pending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 t="s">
        <v>212</v>
      </c>
      <c r="B201" s="4">
        <v>15000.0</v>
      </c>
      <c r="C201" s="4" t="s">
        <v>9</v>
      </c>
      <c r="D201" s="5" t="s">
        <v>12</v>
      </c>
      <c r="E201" s="7"/>
      <c r="F201" s="7"/>
      <c r="G201" s="7"/>
      <c r="H201" s="7"/>
      <c r="I201" s="7"/>
      <c r="J201" s="7"/>
      <c r="K201" s="7"/>
      <c r="L201" s="7"/>
      <c r="M201" s="7"/>
      <c r="N201" s="8"/>
      <c r="O201" s="7"/>
      <c r="P201" s="8">
        <f t="shared" si="4"/>
        <v>65000</v>
      </c>
      <c r="Q201" s="9" t="str">
        <f t="shared" si="2"/>
        <v>Pending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 t="s">
        <v>213</v>
      </c>
      <c r="B202" s="4">
        <v>15000.0</v>
      </c>
      <c r="C202" s="4" t="s">
        <v>9</v>
      </c>
      <c r="D202" s="5" t="s">
        <v>12</v>
      </c>
      <c r="E202" s="7"/>
      <c r="F202" s="7"/>
      <c r="G202" s="7"/>
      <c r="H202" s="7"/>
      <c r="I202" s="7"/>
      <c r="J202" s="7"/>
      <c r="K202" s="7"/>
      <c r="L202" s="7"/>
      <c r="M202" s="7"/>
      <c r="N202" s="8"/>
      <c r="O202" s="7"/>
      <c r="P202" s="8">
        <f t="shared" si="4"/>
        <v>65000</v>
      </c>
      <c r="Q202" s="9" t="str">
        <f t="shared" si="2"/>
        <v>Pending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 t="s">
        <v>214</v>
      </c>
      <c r="B203" s="9"/>
      <c r="C203" s="9"/>
      <c r="D203" s="7"/>
      <c r="E203" s="6">
        <v>20000.0</v>
      </c>
      <c r="F203" s="5" t="s">
        <v>12</v>
      </c>
      <c r="G203" s="5" t="s">
        <v>9</v>
      </c>
      <c r="H203" s="7"/>
      <c r="I203" s="7"/>
      <c r="J203" s="7"/>
      <c r="K203" s="7"/>
      <c r="L203" s="7"/>
      <c r="M203" s="7"/>
      <c r="N203" s="8"/>
      <c r="O203" s="7"/>
      <c r="P203" s="8">
        <f t="shared" si="4"/>
        <v>45000</v>
      </c>
      <c r="Q203" s="9" t="str">
        <f t="shared" si="2"/>
        <v>Pending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 t="s">
        <v>215</v>
      </c>
      <c r="B204" s="4">
        <v>15000.0</v>
      </c>
      <c r="C204" s="4" t="s">
        <v>9</v>
      </c>
      <c r="D204" s="5" t="s">
        <v>12</v>
      </c>
      <c r="E204" s="7"/>
      <c r="F204" s="7"/>
      <c r="G204" s="7"/>
      <c r="H204" s="7"/>
      <c r="I204" s="7"/>
      <c r="J204" s="7"/>
      <c r="K204" s="7"/>
      <c r="L204" s="7"/>
      <c r="M204" s="7"/>
      <c r="N204" s="8"/>
      <c r="O204" s="7"/>
      <c r="P204" s="8">
        <f t="shared" si="4"/>
        <v>65000</v>
      </c>
      <c r="Q204" s="9" t="str">
        <f t="shared" si="2"/>
        <v>Pending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 t="s">
        <v>216</v>
      </c>
      <c r="B205" s="9"/>
      <c r="C205" s="9"/>
      <c r="D205" s="7"/>
      <c r="E205" s="6">
        <v>16000.0</v>
      </c>
      <c r="F205" s="5" t="s">
        <v>12</v>
      </c>
      <c r="G205" s="5" t="s">
        <v>9</v>
      </c>
      <c r="H205" s="7"/>
      <c r="I205" s="7"/>
      <c r="J205" s="7"/>
      <c r="K205" s="7"/>
      <c r="L205" s="7"/>
      <c r="M205" s="7"/>
      <c r="N205" s="8"/>
      <c r="O205" s="7"/>
      <c r="P205" s="8">
        <f t="shared" si="4"/>
        <v>49000</v>
      </c>
      <c r="Q205" s="9" t="str">
        <f t="shared" si="2"/>
        <v>Pending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 t="s">
        <v>217</v>
      </c>
      <c r="B206" s="9"/>
      <c r="C206" s="9"/>
      <c r="D206" s="7"/>
      <c r="E206" s="6">
        <v>20000.0</v>
      </c>
      <c r="F206" s="5" t="s">
        <v>12</v>
      </c>
      <c r="G206" s="5" t="s">
        <v>9</v>
      </c>
      <c r="H206" s="7"/>
      <c r="I206" s="7"/>
      <c r="J206" s="7"/>
      <c r="K206" s="7"/>
      <c r="L206" s="7"/>
      <c r="M206" s="7"/>
      <c r="N206" s="8"/>
      <c r="O206" s="7"/>
      <c r="P206" s="8">
        <f t="shared" si="4"/>
        <v>45000</v>
      </c>
      <c r="Q206" s="9" t="str">
        <f t="shared" si="2"/>
        <v>Pending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 t="s">
        <v>218</v>
      </c>
      <c r="B207" s="9"/>
      <c r="C207" s="9"/>
      <c r="D207" s="7"/>
      <c r="E207" s="6">
        <v>15000.0</v>
      </c>
      <c r="F207" s="5" t="s">
        <v>12</v>
      </c>
      <c r="G207" s="5" t="s">
        <v>9</v>
      </c>
      <c r="H207" s="7"/>
      <c r="I207" s="7"/>
      <c r="J207" s="7"/>
      <c r="K207" s="7"/>
      <c r="L207" s="7"/>
      <c r="M207" s="7"/>
      <c r="N207" s="8"/>
      <c r="O207" s="7"/>
      <c r="P207" s="8">
        <f t="shared" si="4"/>
        <v>50000</v>
      </c>
      <c r="Q207" s="9" t="str">
        <f t="shared" si="2"/>
        <v>Pending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 t="s">
        <v>219</v>
      </c>
      <c r="B208" s="4">
        <v>15000.0</v>
      </c>
      <c r="C208" s="4" t="s">
        <v>9</v>
      </c>
      <c r="D208" s="5" t="s">
        <v>10</v>
      </c>
      <c r="E208" s="6"/>
      <c r="F208" s="5"/>
      <c r="G208" s="5"/>
      <c r="H208" s="7"/>
      <c r="I208" s="7"/>
      <c r="J208" s="7"/>
      <c r="K208" s="7"/>
      <c r="L208" s="7"/>
      <c r="M208" s="7"/>
      <c r="N208" s="8"/>
      <c r="O208" s="7"/>
      <c r="P208" s="8">
        <f t="shared" si="4"/>
        <v>65000</v>
      </c>
      <c r="Q208" s="9" t="str">
        <f t="shared" si="2"/>
        <v>Pending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 t="s">
        <v>220</v>
      </c>
      <c r="B209" s="4">
        <v>15000.0</v>
      </c>
      <c r="C209" s="4" t="s">
        <v>9</v>
      </c>
      <c r="D209" s="5" t="s">
        <v>12</v>
      </c>
      <c r="E209" s="6"/>
      <c r="F209" s="5"/>
      <c r="G209" s="5"/>
      <c r="H209" s="7"/>
      <c r="I209" s="7"/>
      <c r="J209" s="7"/>
      <c r="K209" s="7"/>
      <c r="L209" s="7"/>
      <c r="M209" s="7"/>
      <c r="N209" s="8"/>
      <c r="O209" s="7"/>
      <c r="P209" s="8">
        <f t="shared" si="4"/>
        <v>65000</v>
      </c>
      <c r="Q209" s="9" t="str">
        <f t="shared" si="2"/>
        <v>Pending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 t="s">
        <v>221</v>
      </c>
      <c r="B210" s="9"/>
      <c r="C210" s="9"/>
      <c r="D210" s="7"/>
      <c r="E210" s="6"/>
      <c r="F210" s="5"/>
      <c r="G210" s="5"/>
      <c r="H210" s="6"/>
      <c r="I210" s="5"/>
      <c r="J210" s="7"/>
      <c r="K210" s="6">
        <v>20000.0</v>
      </c>
      <c r="L210" s="5" t="s">
        <v>12</v>
      </c>
      <c r="M210" s="5" t="s">
        <v>9</v>
      </c>
      <c r="N210" s="8"/>
      <c r="O210" s="5"/>
      <c r="P210" s="8">
        <f t="shared" si="4"/>
        <v>45000</v>
      </c>
      <c r="Q210" s="9" t="str">
        <f t="shared" si="2"/>
        <v>Pending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50" t="s">
        <v>222</v>
      </c>
      <c r="B211" s="51"/>
      <c r="C211" s="52"/>
      <c r="D211" s="53"/>
      <c r="E211" s="54">
        <v>35000.0</v>
      </c>
      <c r="F211" s="55" t="s">
        <v>12</v>
      </c>
      <c r="G211" s="55"/>
      <c r="H211" s="56">
        <v>46012.0</v>
      </c>
      <c r="I211" s="53"/>
      <c r="J211" s="53"/>
      <c r="K211" s="53"/>
      <c r="L211" s="53"/>
      <c r="M211" s="53"/>
      <c r="N211" s="57"/>
      <c r="O211" s="53"/>
      <c r="P211" s="57"/>
      <c r="Q211" s="52" t="str">
        <f t="shared" si="2"/>
        <v>Paid</v>
      </c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</row>
    <row r="212">
      <c r="A212" s="3"/>
      <c r="B212" s="9"/>
      <c r="C212" s="9"/>
      <c r="D212" s="7"/>
      <c r="E212" s="6"/>
      <c r="F212" s="5"/>
      <c r="G212" s="5"/>
      <c r="H212" s="7"/>
      <c r="I212" s="7"/>
      <c r="J212" s="7"/>
      <c r="K212" s="7"/>
      <c r="L212" s="7"/>
      <c r="M212" s="7"/>
      <c r="N212" s="8"/>
      <c r="O212" s="7"/>
      <c r="P212" s="8"/>
      <c r="Q212" s="9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/>
      <c r="B213" s="9"/>
      <c r="C213" s="9"/>
      <c r="D213" s="7"/>
      <c r="E213" s="6"/>
      <c r="F213" s="5"/>
      <c r="G213" s="5"/>
      <c r="H213" s="7"/>
      <c r="I213" s="7"/>
      <c r="J213" s="7"/>
      <c r="K213" s="7"/>
      <c r="L213" s="7"/>
      <c r="M213" s="7"/>
      <c r="N213" s="8"/>
      <c r="O213" s="7"/>
      <c r="P213" s="8"/>
      <c r="Q213" s="9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/>
      <c r="B214" s="9"/>
      <c r="C214" s="9"/>
      <c r="D214" s="7"/>
      <c r="E214" s="6"/>
      <c r="F214" s="5"/>
      <c r="G214" s="5"/>
      <c r="H214" s="7"/>
      <c r="I214" s="7"/>
      <c r="J214" s="7"/>
      <c r="K214" s="7"/>
      <c r="L214" s="7"/>
      <c r="M214" s="7"/>
      <c r="N214" s="8"/>
      <c r="O214" s="7"/>
      <c r="P214" s="8"/>
      <c r="Q214" s="9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59"/>
      <c r="B215" s="60"/>
      <c r="C215" s="6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61"/>
      <c r="O215" s="2"/>
      <c r="P215" s="61"/>
      <c r="Q215" s="60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62" t="s">
        <v>6</v>
      </c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63"/>
      <c r="O216" s="47"/>
      <c r="P216" s="64">
        <f>SUM(P2:P207)</f>
        <v>5698500</v>
      </c>
      <c r="Q216" s="47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59"/>
      <c r="B217" s="60"/>
      <c r="C217" s="6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61"/>
      <c r="O217" s="2"/>
      <c r="P217" s="61"/>
      <c r="Q217" s="60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59"/>
      <c r="B218" s="60"/>
      <c r="C218" s="60"/>
      <c r="D218" s="2"/>
      <c r="E218" s="2"/>
      <c r="F218" s="65"/>
      <c r="G218" s="2"/>
      <c r="H218" s="2"/>
      <c r="I218" s="2"/>
      <c r="J218" s="2"/>
      <c r="K218" s="2"/>
      <c r="L218" s="2"/>
      <c r="M218" s="2"/>
      <c r="N218" s="61"/>
      <c r="O218" s="2"/>
      <c r="P218" s="61"/>
      <c r="Q218" s="60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59"/>
      <c r="B219" s="60"/>
      <c r="C219" s="6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61"/>
      <c r="O219" s="2"/>
      <c r="P219" s="61"/>
      <c r="Q219" s="60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59"/>
      <c r="B220" s="60"/>
      <c r="C220" s="6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61"/>
      <c r="O220" s="2"/>
      <c r="P220" s="61"/>
      <c r="Q220" s="60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59"/>
      <c r="B221" s="60"/>
      <c r="C221" s="6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61"/>
      <c r="O221" s="2"/>
      <c r="P221" s="61"/>
      <c r="Q221" s="60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59"/>
      <c r="B222" s="60"/>
      <c r="C222" s="6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61"/>
      <c r="O222" s="2"/>
      <c r="P222" s="61"/>
      <c r="Q222" s="60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59"/>
      <c r="B223" s="60"/>
      <c r="C223" s="6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61"/>
      <c r="O223" s="2"/>
      <c r="P223" s="61"/>
      <c r="Q223" s="60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59"/>
      <c r="B224" s="60"/>
      <c r="C224" s="6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61"/>
      <c r="O224" s="2"/>
      <c r="P224" s="61"/>
      <c r="Q224" s="60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59"/>
      <c r="B225" s="60"/>
      <c r="C225" s="6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61"/>
      <c r="O225" s="2"/>
      <c r="P225" s="61"/>
      <c r="Q225" s="60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59"/>
      <c r="B226" s="60"/>
      <c r="C226" s="6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61"/>
      <c r="O226" s="2"/>
      <c r="P226" s="61"/>
      <c r="Q226" s="60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59"/>
      <c r="B227" s="60"/>
      <c r="C227" s="6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61"/>
      <c r="O227" s="2"/>
      <c r="P227" s="61"/>
      <c r="Q227" s="60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59"/>
      <c r="B228" s="60"/>
      <c r="C228" s="6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61"/>
      <c r="O228" s="2"/>
      <c r="P228" s="61"/>
      <c r="Q228" s="60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59"/>
      <c r="B229" s="60"/>
      <c r="C229" s="6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61"/>
      <c r="O229" s="2"/>
      <c r="P229" s="61"/>
      <c r="Q229" s="60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59"/>
      <c r="B230" s="60"/>
      <c r="C230" s="6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61"/>
      <c r="O230" s="2"/>
      <c r="P230" s="61"/>
      <c r="Q230" s="60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59"/>
      <c r="B231" s="60"/>
      <c r="C231" s="6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61"/>
      <c r="O231" s="2"/>
      <c r="P231" s="61"/>
      <c r="Q231" s="60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59"/>
      <c r="B232" s="60"/>
      <c r="C232" s="6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61"/>
      <c r="O232" s="2"/>
      <c r="P232" s="61"/>
      <c r="Q232" s="60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59"/>
      <c r="B233" s="60"/>
      <c r="C233" s="6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61"/>
      <c r="O233" s="2"/>
      <c r="P233" s="61"/>
      <c r="Q233" s="60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59"/>
      <c r="B234" s="60"/>
      <c r="C234" s="6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61"/>
      <c r="O234" s="2"/>
      <c r="P234" s="61"/>
      <c r="Q234" s="60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59"/>
      <c r="B235" s="60"/>
      <c r="C235" s="6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61"/>
      <c r="O235" s="2"/>
      <c r="P235" s="61"/>
      <c r="Q235" s="60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59"/>
      <c r="B236" s="60"/>
      <c r="C236" s="6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61"/>
      <c r="O236" s="2"/>
      <c r="P236" s="61"/>
      <c r="Q236" s="60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59"/>
      <c r="B237" s="60"/>
      <c r="C237" s="6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61"/>
      <c r="O237" s="2"/>
      <c r="P237" s="61"/>
      <c r="Q237" s="60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59"/>
      <c r="B238" s="60"/>
      <c r="C238" s="6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61"/>
      <c r="O238" s="2"/>
      <c r="P238" s="61"/>
      <c r="Q238" s="60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59"/>
      <c r="B239" s="60"/>
      <c r="C239" s="6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61"/>
      <c r="O239" s="2"/>
      <c r="P239" s="61"/>
      <c r="Q239" s="60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59"/>
      <c r="B240" s="60"/>
      <c r="C240" s="6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61"/>
      <c r="O240" s="2"/>
      <c r="P240" s="61"/>
      <c r="Q240" s="60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59"/>
      <c r="B241" s="60"/>
      <c r="C241" s="6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61"/>
      <c r="O241" s="2"/>
      <c r="P241" s="61"/>
      <c r="Q241" s="60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59"/>
      <c r="B242" s="60"/>
      <c r="C242" s="6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61"/>
      <c r="O242" s="2"/>
      <c r="P242" s="61"/>
      <c r="Q242" s="60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59"/>
      <c r="B243" s="60"/>
      <c r="C243" s="6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61"/>
      <c r="O243" s="2"/>
      <c r="P243" s="61"/>
      <c r="Q243" s="60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59"/>
      <c r="B244" s="60"/>
      <c r="C244" s="6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61"/>
      <c r="O244" s="2"/>
      <c r="P244" s="61"/>
      <c r="Q244" s="60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59"/>
      <c r="B245" s="60"/>
      <c r="C245" s="6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61"/>
      <c r="O245" s="2"/>
      <c r="P245" s="61"/>
      <c r="Q245" s="60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59"/>
      <c r="B246" s="60"/>
      <c r="C246" s="6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61"/>
      <c r="O246" s="2"/>
      <c r="P246" s="61"/>
      <c r="Q246" s="60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59"/>
      <c r="B247" s="60"/>
      <c r="C247" s="6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61"/>
      <c r="O247" s="2"/>
      <c r="P247" s="61"/>
      <c r="Q247" s="60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59"/>
      <c r="B248" s="60"/>
      <c r="C248" s="6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61"/>
      <c r="O248" s="2"/>
      <c r="P248" s="61"/>
      <c r="Q248" s="60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59"/>
      <c r="B249" s="60"/>
      <c r="C249" s="6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61"/>
      <c r="O249" s="2"/>
      <c r="P249" s="61"/>
      <c r="Q249" s="60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59"/>
      <c r="B250" s="60"/>
      <c r="C250" s="6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61"/>
      <c r="O250" s="2"/>
      <c r="P250" s="61"/>
      <c r="Q250" s="60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59"/>
      <c r="B251" s="60"/>
      <c r="C251" s="6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61"/>
      <c r="O251" s="2"/>
      <c r="P251" s="61"/>
      <c r="Q251" s="60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59"/>
      <c r="B252" s="60"/>
      <c r="C252" s="6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61"/>
      <c r="O252" s="2"/>
      <c r="P252" s="61"/>
      <c r="Q252" s="60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59"/>
      <c r="B253" s="60"/>
      <c r="C253" s="6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61"/>
      <c r="O253" s="2"/>
      <c r="P253" s="61"/>
      <c r="Q253" s="60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59"/>
      <c r="B254" s="60"/>
      <c r="C254" s="6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61"/>
      <c r="O254" s="2"/>
      <c r="P254" s="61"/>
      <c r="Q254" s="60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59"/>
      <c r="B255" s="60"/>
      <c r="C255" s="6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61"/>
      <c r="O255" s="2"/>
      <c r="P255" s="61"/>
      <c r="Q255" s="60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59"/>
      <c r="B256" s="60"/>
      <c r="C256" s="6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61"/>
      <c r="O256" s="2"/>
      <c r="P256" s="61"/>
      <c r="Q256" s="60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59"/>
      <c r="B257" s="60"/>
      <c r="C257" s="6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61"/>
      <c r="O257" s="2"/>
      <c r="P257" s="61"/>
      <c r="Q257" s="60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59"/>
      <c r="B258" s="60"/>
      <c r="C258" s="6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61"/>
      <c r="O258" s="2"/>
      <c r="P258" s="61"/>
      <c r="Q258" s="60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59"/>
      <c r="B259" s="60"/>
      <c r="C259" s="6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61"/>
      <c r="O259" s="2"/>
      <c r="P259" s="61"/>
      <c r="Q259" s="60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59"/>
      <c r="B260" s="60"/>
      <c r="C260" s="6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61"/>
      <c r="O260" s="2"/>
      <c r="P260" s="61"/>
      <c r="Q260" s="60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59"/>
      <c r="B261" s="60"/>
      <c r="C261" s="6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61"/>
      <c r="O261" s="2"/>
      <c r="P261" s="61"/>
      <c r="Q261" s="60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59"/>
      <c r="B262" s="60"/>
      <c r="C262" s="6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61"/>
      <c r="O262" s="2"/>
      <c r="P262" s="61"/>
      <c r="Q262" s="60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59"/>
      <c r="B263" s="60"/>
      <c r="C263" s="6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61"/>
      <c r="O263" s="2"/>
      <c r="P263" s="61"/>
      <c r="Q263" s="60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59"/>
      <c r="B264" s="60"/>
      <c r="C264" s="6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61"/>
      <c r="O264" s="2"/>
      <c r="P264" s="61"/>
      <c r="Q264" s="60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59"/>
      <c r="B265" s="60"/>
      <c r="C265" s="6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61"/>
      <c r="O265" s="2"/>
      <c r="P265" s="61"/>
      <c r="Q265" s="60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59"/>
      <c r="B266" s="60"/>
      <c r="C266" s="6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61"/>
      <c r="O266" s="2"/>
      <c r="P266" s="61"/>
      <c r="Q266" s="60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59"/>
      <c r="B267" s="60"/>
      <c r="C267" s="6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61"/>
      <c r="O267" s="2"/>
      <c r="P267" s="61"/>
      <c r="Q267" s="60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59"/>
      <c r="B268" s="60"/>
      <c r="C268" s="6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61"/>
      <c r="O268" s="2"/>
      <c r="P268" s="61"/>
      <c r="Q268" s="60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59"/>
      <c r="B269" s="60"/>
      <c r="C269" s="6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61"/>
      <c r="O269" s="2"/>
      <c r="P269" s="61"/>
      <c r="Q269" s="60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59"/>
      <c r="B270" s="60"/>
      <c r="C270" s="6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61"/>
      <c r="O270" s="2"/>
      <c r="P270" s="61"/>
      <c r="Q270" s="60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59"/>
      <c r="B271" s="60"/>
      <c r="C271" s="6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61"/>
      <c r="O271" s="2"/>
      <c r="P271" s="61"/>
      <c r="Q271" s="60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59"/>
      <c r="B272" s="60"/>
      <c r="C272" s="6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61"/>
      <c r="O272" s="2"/>
      <c r="P272" s="61"/>
      <c r="Q272" s="60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59"/>
      <c r="B273" s="60"/>
      <c r="C273" s="6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61"/>
      <c r="O273" s="2"/>
      <c r="P273" s="61"/>
      <c r="Q273" s="60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59"/>
      <c r="B274" s="60"/>
      <c r="C274" s="6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61"/>
      <c r="O274" s="2"/>
      <c r="P274" s="61"/>
      <c r="Q274" s="60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59"/>
      <c r="B275" s="60"/>
      <c r="C275" s="6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61"/>
      <c r="O275" s="2"/>
      <c r="P275" s="61"/>
      <c r="Q275" s="60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59"/>
      <c r="B276" s="60"/>
      <c r="C276" s="6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61"/>
      <c r="O276" s="2"/>
      <c r="P276" s="61"/>
      <c r="Q276" s="60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59"/>
      <c r="B277" s="60"/>
      <c r="C277" s="6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61"/>
      <c r="O277" s="2"/>
      <c r="P277" s="61"/>
      <c r="Q277" s="60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59"/>
      <c r="B278" s="60"/>
      <c r="C278" s="6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61"/>
      <c r="O278" s="2"/>
      <c r="P278" s="61"/>
      <c r="Q278" s="60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59"/>
      <c r="B279" s="60"/>
      <c r="C279" s="6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61"/>
      <c r="O279" s="2"/>
      <c r="P279" s="61"/>
      <c r="Q279" s="60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59"/>
      <c r="B280" s="60"/>
      <c r="C280" s="6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61"/>
      <c r="O280" s="2"/>
      <c r="P280" s="61"/>
      <c r="Q280" s="60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59"/>
      <c r="B281" s="60"/>
      <c r="C281" s="6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61"/>
      <c r="O281" s="2"/>
      <c r="P281" s="61"/>
      <c r="Q281" s="60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59"/>
      <c r="B282" s="60"/>
      <c r="C282" s="6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61"/>
      <c r="O282" s="2"/>
      <c r="P282" s="61"/>
      <c r="Q282" s="60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59"/>
      <c r="B283" s="60"/>
      <c r="C283" s="6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61"/>
      <c r="O283" s="2"/>
      <c r="P283" s="61"/>
      <c r="Q283" s="60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59"/>
      <c r="B284" s="60"/>
      <c r="C284" s="6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61"/>
      <c r="O284" s="2"/>
      <c r="P284" s="61"/>
      <c r="Q284" s="60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59"/>
      <c r="B285" s="60"/>
      <c r="C285" s="6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61"/>
      <c r="O285" s="2"/>
      <c r="P285" s="61"/>
      <c r="Q285" s="60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59"/>
      <c r="B286" s="60"/>
      <c r="C286" s="6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61"/>
      <c r="O286" s="2"/>
      <c r="P286" s="61"/>
      <c r="Q286" s="60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59"/>
      <c r="B287" s="60"/>
      <c r="C287" s="6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61"/>
      <c r="O287" s="2"/>
      <c r="P287" s="61"/>
      <c r="Q287" s="60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59"/>
      <c r="B288" s="60"/>
      <c r="C288" s="6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61"/>
      <c r="O288" s="2"/>
      <c r="P288" s="61"/>
      <c r="Q288" s="60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59"/>
      <c r="B289" s="60"/>
      <c r="C289" s="6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61"/>
      <c r="O289" s="2"/>
      <c r="P289" s="61"/>
      <c r="Q289" s="60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59"/>
      <c r="B290" s="60"/>
      <c r="C290" s="6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61"/>
      <c r="O290" s="2"/>
      <c r="P290" s="61"/>
      <c r="Q290" s="60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59"/>
      <c r="B291" s="60"/>
      <c r="C291" s="6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61"/>
      <c r="O291" s="2"/>
      <c r="P291" s="61"/>
      <c r="Q291" s="60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59"/>
      <c r="B292" s="60"/>
      <c r="C292" s="6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61"/>
      <c r="O292" s="2"/>
      <c r="P292" s="61"/>
      <c r="Q292" s="60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59"/>
      <c r="B293" s="60"/>
      <c r="C293" s="6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61"/>
      <c r="O293" s="2"/>
      <c r="P293" s="61"/>
      <c r="Q293" s="60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59"/>
      <c r="B294" s="60"/>
      <c r="C294" s="6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61"/>
      <c r="O294" s="2"/>
      <c r="P294" s="61"/>
      <c r="Q294" s="60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59"/>
      <c r="B295" s="60"/>
      <c r="C295" s="6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61"/>
      <c r="O295" s="2"/>
      <c r="P295" s="61"/>
      <c r="Q295" s="60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59"/>
      <c r="B296" s="60"/>
      <c r="C296" s="6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61"/>
      <c r="O296" s="2"/>
      <c r="P296" s="61"/>
      <c r="Q296" s="60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59"/>
      <c r="B297" s="60"/>
      <c r="C297" s="6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61"/>
      <c r="O297" s="2"/>
      <c r="P297" s="61"/>
      <c r="Q297" s="60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59"/>
      <c r="B298" s="60"/>
      <c r="C298" s="6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61"/>
      <c r="O298" s="2"/>
      <c r="P298" s="61"/>
      <c r="Q298" s="60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59"/>
      <c r="B299" s="60"/>
      <c r="C299" s="6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61"/>
      <c r="O299" s="2"/>
      <c r="P299" s="61"/>
      <c r="Q299" s="60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</sheetData>
  <dataValidations>
    <dataValidation type="list" allowBlank="1" showErrorMessage="1" sqref="B2:B214">
      <formula1>"15000,Admission Cancelled,Free of Charge "</formula1>
    </dataValidation>
    <dataValidation type="list" allowBlank="1" showErrorMessage="1" sqref="D2:D214 F2:F214 I2:I214 L2:L214 O2:O214">
      <formula1>"Cash,Bank Transfer,N/A"</formula1>
    </dataValidation>
    <dataValidation type="list" allowBlank="1" showErrorMessage="1" sqref="C2:C214 G2:G214 J2:J214 M2:M214">
      <formula1>"Issued,N/A"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3.0"/>
    <col customWidth="1" min="4" max="4" width="19.38"/>
    <col customWidth="1" min="6" max="6" width="16.13"/>
    <col customWidth="1" min="7" max="7" width="19.38"/>
    <col customWidth="1" min="8" max="8" width="15.5"/>
    <col customWidth="1" min="9" max="9" width="19.38"/>
    <col customWidth="1" min="10" max="10" width="15.0"/>
    <col customWidth="1" min="11" max="11" width="25.38"/>
    <col customWidth="1" min="12" max="12" width="22.63"/>
    <col customWidth="1" min="13" max="13" width="13.88"/>
    <col customWidth="1" min="14" max="14" width="18.38"/>
    <col customWidth="1" min="16" max="16" width="16.63"/>
    <col customWidth="1" min="17" max="17" width="19.5"/>
    <col customWidth="1" min="19" max="19" width="18.88"/>
    <col customWidth="1" min="21" max="21" width="19.38"/>
    <col customWidth="1" min="22" max="22" width="17.63"/>
    <col customWidth="1" min="24" max="24" width="23.5"/>
    <col customWidth="1" min="25" max="26" width="16.63"/>
  </cols>
  <sheetData>
    <row r="1">
      <c r="A1" s="1" t="s">
        <v>223</v>
      </c>
      <c r="B1" s="1" t="s">
        <v>0</v>
      </c>
      <c r="C1" s="1" t="s">
        <v>1</v>
      </c>
      <c r="D1" s="1" t="s">
        <v>2</v>
      </c>
      <c r="E1" s="66" t="s">
        <v>224</v>
      </c>
      <c r="F1" s="1" t="s">
        <v>3</v>
      </c>
      <c r="G1" s="1" t="s">
        <v>2</v>
      </c>
      <c r="H1" s="1" t="s">
        <v>1</v>
      </c>
      <c r="I1" s="66" t="s">
        <v>225</v>
      </c>
      <c r="J1" s="66" t="s">
        <v>224</v>
      </c>
      <c r="K1" s="1" t="s">
        <v>4</v>
      </c>
      <c r="L1" s="1" t="s">
        <v>2</v>
      </c>
      <c r="M1" s="1" t="s">
        <v>1</v>
      </c>
      <c r="N1" s="66" t="s">
        <v>225</v>
      </c>
      <c r="O1" s="66" t="s">
        <v>224</v>
      </c>
      <c r="P1" s="1" t="s">
        <v>5</v>
      </c>
      <c r="Q1" s="1" t="s">
        <v>2</v>
      </c>
      <c r="R1" s="1" t="s">
        <v>1</v>
      </c>
      <c r="S1" s="66" t="s">
        <v>225</v>
      </c>
      <c r="T1" s="66" t="s">
        <v>224</v>
      </c>
      <c r="U1" s="66" t="s">
        <v>226</v>
      </c>
      <c r="V1" s="1" t="s">
        <v>2</v>
      </c>
      <c r="W1" s="1" t="s">
        <v>1</v>
      </c>
      <c r="X1" s="66" t="s">
        <v>225</v>
      </c>
      <c r="Y1" s="66" t="s">
        <v>227</v>
      </c>
      <c r="Z1" s="66"/>
      <c r="AA1" s="66" t="s">
        <v>6</v>
      </c>
      <c r="AB1" s="1" t="s">
        <v>7</v>
      </c>
    </row>
    <row r="2">
      <c r="A2" s="3" t="s">
        <v>228</v>
      </c>
      <c r="B2" s="4">
        <v>15000.0</v>
      </c>
      <c r="C2" s="4" t="s">
        <v>9</v>
      </c>
      <c r="D2" s="5" t="s">
        <v>10</v>
      </c>
      <c r="E2" s="67">
        <v>45780.0</v>
      </c>
      <c r="F2" s="6"/>
      <c r="G2" s="5"/>
      <c r="H2" s="5"/>
      <c r="I2" s="4"/>
      <c r="J2" s="5"/>
      <c r="K2" s="7"/>
      <c r="L2" s="7"/>
      <c r="M2" s="7"/>
      <c r="N2" s="4"/>
      <c r="O2" s="5"/>
      <c r="P2" s="7"/>
      <c r="Q2" s="7"/>
      <c r="R2" s="7"/>
      <c r="S2" s="4"/>
      <c r="T2" s="5"/>
      <c r="U2" s="5"/>
      <c r="V2" s="7"/>
      <c r="W2" s="7"/>
      <c r="X2" s="5"/>
      <c r="Y2" s="5"/>
      <c r="Z2" s="5"/>
      <c r="AA2" s="8">
        <f t="shared" ref="AA2:AA4" si="1">65000 - SUM(F2, K2, P2)</f>
        <v>65000</v>
      </c>
      <c r="AB2" s="9" t="str">
        <f t="shared" ref="AB2:AB100" si="2">IF(AA2=0, "Paid", "Pending")</f>
        <v>Pending</v>
      </c>
    </row>
    <row r="3">
      <c r="A3" s="3" t="s">
        <v>229</v>
      </c>
      <c r="B3" s="4">
        <v>15000.0</v>
      </c>
      <c r="C3" s="4" t="s">
        <v>9</v>
      </c>
      <c r="D3" s="5" t="s">
        <v>12</v>
      </c>
      <c r="E3" s="67">
        <v>45780.0</v>
      </c>
      <c r="F3" s="6"/>
      <c r="G3" s="5"/>
      <c r="H3" s="5"/>
      <c r="I3" s="4"/>
      <c r="J3" s="5"/>
      <c r="K3" s="7"/>
      <c r="L3" s="7"/>
      <c r="M3" s="7"/>
      <c r="N3" s="4"/>
      <c r="O3" s="5"/>
      <c r="P3" s="7"/>
      <c r="Q3" s="7"/>
      <c r="R3" s="7"/>
      <c r="S3" s="4"/>
      <c r="T3" s="5"/>
      <c r="U3" s="5"/>
      <c r="V3" s="7"/>
      <c r="W3" s="7"/>
      <c r="X3" s="5"/>
      <c r="Y3" s="5"/>
      <c r="Z3" s="5"/>
      <c r="AA3" s="8">
        <f t="shared" si="1"/>
        <v>65000</v>
      </c>
      <c r="AB3" s="9" t="str">
        <f t="shared" si="2"/>
        <v>Pending</v>
      </c>
    </row>
    <row r="4">
      <c r="A4" s="3" t="s">
        <v>230</v>
      </c>
      <c r="B4" s="4">
        <v>15000.0</v>
      </c>
      <c r="C4" s="4" t="s">
        <v>9</v>
      </c>
      <c r="D4" s="5" t="s">
        <v>12</v>
      </c>
      <c r="E4" s="67">
        <v>45780.0</v>
      </c>
      <c r="F4" s="6"/>
      <c r="G4" s="5"/>
      <c r="H4" s="5"/>
      <c r="I4" s="4"/>
      <c r="J4" s="5"/>
      <c r="K4" s="7"/>
      <c r="L4" s="7"/>
      <c r="M4" s="7"/>
      <c r="N4" s="4"/>
      <c r="O4" s="5"/>
      <c r="P4" s="7"/>
      <c r="Q4" s="7"/>
      <c r="R4" s="7"/>
      <c r="S4" s="4"/>
      <c r="T4" s="5"/>
      <c r="U4" s="5"/>
      <c r="V4" s="7"/>
      <c r="W4" s="7"/>
      <c r="X4" s="5"/>
      <c r="Y4" s="5"/>
      <c r="Z4" s="5"/>
      <c r="AA4" s="8">
        <f t="shared" si="1"/>
        <v>65000</v>
      </c>
      <c r="AB4" s="9" t="str">
        <f t="shared" si="2"/>
        <v>Pending</v>
      </c>
    </row>
    <row r="5">
      <c r="A5" s="3" t="s">
        <v>231</v>
      </c>
      <c r="B5" s="4">
        <v>15000.0</v>
      </c>
      <c r="C5" s="4" t="s">
        <v>9</v>
      </c>
      <c r="D5" s="5" t="s">
        <v>10</v>
      </c>
      <c r="E5" s="67">
        <v>45780.0</v>
      </c>
      <c r="F5" s="6">
        <v>15000.0</v>
      </c>
      <c r="G5" s="5" t="s">
        <v>12</v>
      </c>
      <c r="H5" s="5" t="s">
        <v>9</v>
      </c>
      <c r="I5" s="68"/>
      <c r="J5" s="67">
        <v>45822.0</v>
      </c>
      <c r="K5" s="6">
        <v>15000.0</v>
      </c>
      <c r="L5" s="5" t="s">
        <v>12</v>
      </c>
      <c r="M5" s="5" t="s">
        <v>18</v>
      </c>
      <c r="N5" s="68"/>
      <c r="O5" s="67">
        <v>45850.0</v>
      </c>
      <c r="P5" s="6">
        <v>15000.0</v>
      </c>
      <c r="Q5" s="5" t="s">
        <v>12</v>
      </c>
      <c r="R5" s="5" t="s">
        <v>9</v>
      </c>
      <c r="S5" s="68"/>
      <c r="T5" s="67">
        <v>45871.0</v>
      </c>
      <c r="U5" s="6">
        <v>10000.0</v>
      </c>
      <c r="V5" s="5" t="s">
        <v>12</v>
      </c>
      <c r="W5" s="5" t="s">
        <v>18</v>
      </c>
      <c r="X5" s="67"/>
      <c r="Y5" s="67">
        <v>46047.0</v>
      </c>
      <c r="Z5" s="67"/>
      <c r="AA5" s="8">
        <f>65000 - SUM(F5, K5, P5,U5)</f>
        <v>10000</v>
      </c>
      <c r="AB5" s="9" t="str">
        <f t="shared" si="2"/>
        <v>Pending</v>
      </c>
    </row>
    <row r="6">
      <c r="A6" s="3" t="s">
        <v>232</v>
      </c>
      <c r="B6" s="4">
        <v>15000.0</v>
      </c>
      <c r="C6" s="4" t="s">
        <v>9</v>
      </c>
      <c r="D6" s="5" t="s">
        <v>12</v>
      </c>
      <c r="E6" s="67">
        <v>45780.0</v>
      </c>
      <c r="F6" s="6"/>
      <c r="G6" s="5"/>
      <c r="H6" s="5"/>
      <c r="I6" s="4"/>
      <c r="J6" s="5"/>
      <c r="K6" s="7"/>
      <c r="L6" s="7"/>
      <c r="M6" s="7"/>
      <c r="N6" s="4"/>
      <c r="O6" s="5"/>
      <c r="P6" s="7"/>
      <c r="Q6" s="7"/>
      <c r="R6" s="7"/>
      <c r="S6" s="4"/>
      <c r="T6" s="5"/>
      <c r="U6" s="5"/>
      <c r="V6" s="7"/>
      <c r="W6" s="7"/>
      <c r="X6" s="5"/>
      <c r="Y6" s="5"/>
      <c r="Z6" s="5"/>
      <c r="AA6" s="8">
        <f t="shared" ref="AA6:AA12" si="3">65000 - SUM(F6, K6, P6)</f>
        <v>65000</v>
      </c>
      <c r="AB6" s="9" t="str">
        <f t="shared" si="2"/>
        <v>Pending</v>
      </c>
    </row>
    <row r="7">
      <c r="A7" s="3" t="s">
        <v>233</v>
      </c>
      <c r="B7" s="4">
        <v>15000.0</v>
      </c>
      <c r="C7" s="4" t="s">
        <v>9</v>
      </c>
      <c r="D7" s="5" t="s">
        <v>10</v>
      </c>
      <c r="E7" s="67">
        <v>45781.0</v>
      </c>
      <c r="F7" s="6"/>
      <c r="G7" s="5"/>
      <c r="H7" s="5"/>
      <c r="I7" s="4"/>
      <c r="J7" s="5"/>
      <c r="K7" s="7"/>
      <c r="L7" s="7"/>
      <c r="M7" s="7"/>
      <c r="N7" s="4"/>
      <c r="O7" s="5"/>
      <c r="P7" s="7"/>
      <c r="Q7" s="7"/>
      <c r="R7" s="7"/>
      <c r="S7" s="4"/>
      <c r="T7" s="5"/>
      <c r="U7" s="5"/>
      <c r="V7" s="7"/>
      <c r="W7" s="7"/>
      <c r="X7" s="5"/>
      <c r="Y7" s="5"/>
      <c r="Z7" s="5"/>
      <c r="AA7" s="8">
        <f t="shared" si="3"/>
        <v>65000</v>
      </c>
      <c r="AB7" s="9" t="str">
        <f t="shared" si="2"/>
        <v>Pending</v>
      </c>
    </row>
    <row r="8">
      <c r="A8" s="10" t="s">
        <v>234</v>
      </c>
      <c r="B8" s="11">
        <v>15000.0</v>
      </c>
      <c r="C8" s="11" t="s">
        <v>9</v>
      </c>
      <c r="D8" s="12" t="s">
        <v>12</v>
      </c>
      <c r="E8" s="69">
        <v>45781.0</v>
      </c>
      <c r="F8" s="15">
        <v>15000.0</v>
      </c>
      <c r="G8" s="12" t="s">
        <v>12</v>
      </c>
      <c r="H8" s="12" t="s">
        <v>18</v>
      </c>
      <c r="I8" s="70"/>
      <c r="J8" s="69">
        <v>45809.0</v>
      </c>
      <c r="K8" s="15">
        <v>15000.0</v>
      </c>
      <c r="L8" s="12" t="s">
        <v>12</v>
      </c>
      <c r="M8" s="12" t="s">
        <v>18</v>
      </c>
      <c r="N8" s="70"/>
      <c r="O8" s="69">
        <v>45844.0</v>
      </c>
      <c r="P8" s="15">
        <v>20000.0</v>
      </c>
      <c r="Q8" s="12" t="s">
        <v>12</v>
      </c>
      <c r="R8" s="12" t="s">
        <v>18</v>
      </c>
      <c r="S8" s="70"/>
      <c r="T8" s="69">
        <v>45865.0</v>
      </c>
      <c r="U8" s="69"/>
      <c r="V8" s="7"/>
      <c r="W8" s="7"/>
      <c r="X8" s="69"/>
      <c r="Y8" s="69"/>
      <c r="Z8" s="69"/>
      <c r="AA8" s="16">
        <f t="shared" si="3"/>
        <v>15000</v>
      </c>
      <c r="AB8" s="17" t="str">
        <f t="shared" si="2"/>
        <v>Pending</v>
      </c>
      <c r="AC8" s="18"/>
      <c r="AD8" s="18"/>
      <c r="AE8" s="18"/>
      <c r="AF8" s="18"/>
      <c r="AG8" s="18"/>
      <c r="AH8" s="18"/>
      <c r="AI8" s="18"/>
    </row>
    <row r="9">
      <c r="A9" s="3" t="s">
        <v>235</v>
      </c>
      <c r="B9" s="4">
        <v>15000.0</v>
      </c>
      <c r="C9" s="4" t="s">
        <v>9</v>
      </c>
      <c r="D9" s="5" t="s">
        <v>12</v>
      </c>
      <c r="E9" s="67">
        <v>45781.0</v>
      </c>
      <c r="F9" s="6"/>
      <c r="G9" s="5"/>
      <c r="H9" s="5"/>
      <c r="I9" s="4"/>
      <c r="J9" s="5"/>
      <c r="K9" s="7"/>
      <c r="L9" s="7"/>
      <c r="M9" s="7"/>
      <c r="N9" s="4"/>
      <c r="O9" s="5"/>
      <c r="P9" s="7"/>
      <c r="Q9" s="7"/>
      <c r="R9" s="7"/>
      <c r="S9" s="4"/>
      <c r="T9" s="5"/>
      <c r="U9" s="5"/>
      <c r="V9" s="7"/>
      <c r="W9" s="7"/>
      <c r="X9" s="5"/>
      <c r="Y9" s="5"/>
      <c r="Z9" s="5"/>
      <c r="AA9" s="8">
        <f t="shared" si="3"/>
        <v>65000</v>
      </c>
      <c r="AB9" s="9" t="str">
        <f t="shared" si="2"/>
        <v>Pending</v>
      </c>
    </row>
    <row r="10">
      <c r="A10" s="10" t="s">
        <v>236</v>
      </c>
      <c r="B10" s="11">
        <v>15000.0</v>
      </c>
      <c r="C10" s="11" t="s">
        <v>9</v>
      </c>
      <c r="D10" s="12" t="s">
        <v>12</v>
      </c>
      <c r="E10" s="69">
        <v>45781.0</v>
      </c>
      <c r="F10" s="15">
        <v>25000.0</v>
      </c>
      <c r="G10" s="12"/>
      <c r="H10" s="12"/>
      <c r="I10" s="11"/>
      <c r="J10" s="69">
        <v>45914.0</v>
      </c>
      <c r="K10" s="15">
        <v>20000.0</v>
      </c>
      <c r="L10" s="14"/>
      <c r="M10" s="14"/>
      <c r="N10" s="11"/>
      <c r="O10" s="12"/>
      <c r="P10" s="14"/>
      <c r="Q10" s="14"/>
      <c r="R10" s="14"/>
      <c r="S10" s="11"/>
      <c r="T10" s="12"/>
      <c r="U10" s="12"/>
      <c r="V10" s="7"/>
      <c r="W10" s="7"/>
      <c r="X10" s="12"/>
      <c r="Y10" s="12"/>
      <c r="Z10" s="12"/>
      <c r="AA10" s="16">
        <f t="shared" si="3"/>
        <v>20000</v>
      </c>
      <c r="AB10" s="17" t="str">
        <f t="shared" si="2"/>
        <v>Pending</v>
      </c>
      <c r="AC10" s="18"/>
      <c r="AD10" s="18"/>
      <c r="AE10" s="18"/>
      <c r="AF10" s="18"/>
      <c r="AG10" s="18"/>
      <c r="AH10" s="18"/>
      <c r="AI10" s="18"/>
    </row>
    <row r="11">
      <c r="A11" s="3" t="s">
        <v>237</v>
      </c>
      <c r="B11" s="4">
        <v>15000.0</v>
      </c>
      <c r="C11" s="4" t="s">
        <v>9</v>
      </c>
      <c r="D11" s="5" t="s">
        <v>10</v>
      </c>
      <c r="E11" s="67">
        <v>45781.0</v>
      </c>
      <c r="F11" s="6">
        <v>20000.0</v>
      </c>
      <c r="G11" s="5" t="s">
        <v>12</v>
      </c>
      <c r="H11" s="5" t="s">
        <v>18</v>
      </c>
      <c r="I11" s="4"/>
      <c r="J11" s="5"/>
      <c r="K11" s="7"/>
      <c r="L11" s="7"/>
      <c r="M11" s="7"/>
      <c r="N11" s="4"/>
      <c r="O11" s="5"/>
      <c r="P11" s="7"/>
      <c r="Q11" s="7"/>
      <c r="R11" s="7"/>
      <c r="S11" s="4"/>
      <c r="T11" s="5"/>
      <c r="U11" s="5"/>
      <c r="V11" s="7"/>
      <c r="W11" s="7"/>
      <c r="X11" s="5"/>
      <c r="Y11" s="5"/>
      <c r="Z11" s="5"/>
      <c r="AA11" s="8">
        <f t="shared" si="3"/>
        <v>45000</v>
      </c>
      <c r="AB11" s="9" t="str">
        <f t="shared" si="2"/>
        <v>Pending</v>
      </c>
    </row>
    <row r="12">
      <c r="A12" s="3" t="s">
        <v>238</v>
      </c>
      <c r="B12" s="4">
        <v>15000.0</v>
      </c>
      <c r="C12" s="4" t="s">
        <v>9</v>
      </c>
      <c r="D12" s="5" t="s">
        <v>12</v>
      </c>
      <c r="E12" s="67">
        <v>45781.0</v>
      </c>
      <c r="F12" s="6"/>
      <c r="G12" s="5"/>
      <c r="H12" s="5"/>
      <c r="I12" s="4"/>
      <c r="J12" s="5"/>
      <c r="K12" s="7"/>
      <c r="L12" s="7"/>
      <c r="M12" s="7"/>
      <c r="N12" s="4"/>
      <c r="O12" s="5"/>
      <c r="P12" s="7"/>
      <c r="Q12" s="7"/>
      <c r="R12" s="7"/>
      <c r="S12" s="4"/>
      <c r="T12" s="5"/>
      <c r="U12" s="5"/>
      <c r="V12" s="7"/>
      <c r="W12" s="7"/>
      <c r="X12" s="5"/>
      <c r="Y12" s="5"/>
      <c r="Z12" s="5"/>
      <c r="AA12" s="8">
        <f t="shared" si="3"/>
        <v>65000</v>
      </c>
      <c r="AB12" s="9" t="str">
        <f t="shared" si="2"/>
        <v>Pending</v>
      </c>
    </row>
    <row r="13">
      <c r="A13" s="20" t="s">
        <v>239</v>
      </c>
      <c r="B13" s="21">
        <v>15000.0</v>
      </c>
      <c r="C13" s="21" t="s">
        <v>9</v>
      </c>
      <c r="D13" s="22" t="s">
        <v>10</v>
      </c>
      <c r="E13" s="71">
        <v>45781.0</v>
      </c>
      <c r="F13" s="23">
        <v>15000.0</v>
      </c>
      <c r="G13" s="22" t="s">
        <v>12</v>
      </c>
      <c r="H13" s="22" t="s">
        <v>18</v>
      </c>
      <c r="I13" s="72"/>
      <c r="J13" s="71">
        <v>45809.0</v>
      </c>
      <c r="K13" s="29"/>
      <c r="L13" s="29"/>
      <c r="M13" s="29"/>
      <c r="N13" s="21"/>
      <c r="O13" s="22"/>
      <c r="P13" s="29"/>
      <c r="Q13" s="29"/>
      <c r="R13" s="29"/>
      <c r="S13" s="21"/>
      <c r="T13" s="22"/>
      <c r="U13" s="23">
        <v>25000.0</v>
      </c>
      <c r="V13" s="22" t="s">
        <v>12</v>
      </c>
      <c r="W13" s="22" t="s">
        <v>9</v>
      </c>
      <c r="X13" s="22">
        <v>220.0</v>
      </c>
      <c r="Y13" s="71">
        <v>46046.0</v>
      </c>
      <c r="Z13" s="23">
        <v>25000.0</v>
      </c>
      <c r="AA13" s="24">
        <f>65000 - SUM(F13, K13, P13,Z13,U13)</f>
        <v>0</v>
      </c>
      <c r="AB13" s="25" t="str">
        <f t="shared" si="2"/>
        <v>Paid</v>
      </c>
      <c r="AC13" s="26"/>
      <c r="AD13" s="26"/>
      <c r="AE13" s="26"/>
      <c r="AF13" s="26"/>
      <c r="AG13" s="26"/>
      <c r="AH13" s="26"/>
      <c r="AI13" s="26"/>
    </row>
    <row r="14">
      <c r="A14" s="20" t="s">
        <v>240</v>
      </c>
      <c r="B14" s="21">
        <v>15000.0</v>
      </c>
      <c r="C14" s="21" t="s">
        <v>9</v>
      </c>
      <c r="D14" s="22" t="s">
        <v>10</v>
      </c>
      <c r="E14" s="71">
        <v>45781.0</v>
      </c>
      <c r="F14" s="23">
        <v>20000.0</v>
      </c>
      <c r="G14" s="22" t="s">
        <v>12</v>
      </c>
      <c r="H14" s="22" t="s">
        <v>18</v>
      </c>
      <c r="I14" s="72"/>
      <c r="J14" s="71">
        <v>45809.0</v>
      </c>
      <c r="K14" s="23">
        <v>20000.0</v>
      </c>
      <c r="L14" s="22" t="s">
        <v>12</v>
      </c>
      <c r="M14" s="22" t="s">
        <v>18</v>
      </c>
      <c r="N14" s="72"/>
      <c r="O14" s="71">
        <v>45844.0</v>
      </c>
      <c r="P14" s="23">
        <v>25000.0</v>
      </c>
      <c r="Q14" s="22" t="s">
        <v>12</v>
      </c>
      <c r="R14" s="22" t="s">
        <v>9</v>
      </c>
      <c r="S14" s="72"/>
      <c r="T14" s="71">
        <v>45900.0</v>
      </c>
      <c r="U14" s="71"/>
      <c r="V14" s="7"/>
      <c r="W14" s="7"/>
      <c r="X14" s="71"/>
      <c r="Y14" s="71"/>
      <c r="Z14" s="71"/>
      <c r="AA14" s="24">
        <f t="shared" ref="AA14:AA16" si="4">65000 - SUM(F14, K14, P14)</f>
        <v>0</v>
      </c>
      <c r="AB14" s="25" t="str">
        <f t="shared" si="2"/>
        <v>Paid</v>
      </c>
      <c r="AC14" s="26"/>
      <c r="AD14" s="26"/>
      <c r="AE14" s="26"/>
      <c r="AF14" s="26"/>
      <c r="AG14" s="26"/>
      <c r="AH14" s="26"/>
      <c r="AI14" s="26"/>
    </row>
    <row r="15">
      <c r="A15" s="3" t="s">
        <v>241</v>
      </c>
      <c r="B15" s="4">
        <v>15000.0</v>
      </c>
      <c r="C15" s="4" t="s">
        <v>9</v>
      </c>
      <c r="D15" s="5" t="s">
        <v>12</v>
      </c>
      <c r="E15" s="67">
        <v>45787.0</v>
      </c>
      <c r="F15" s="6"/>
      <c r="G15" s="5"/>
      <c r="H15" s="5"/>
      <c r="I15" s="4"/>
      <c r="J15" s="5"/>
      <c r="K15" s="7"/>
      <c r="L15" s="7"/>
      <c r="M15" s="7"/>
      <c r="N15" s="4"/>
      <c r="O15" s="5"/>
      <c r="P15" s="7"/>
      <c r="Q15" s="7"/>
      <c r="R15" s="7"/>
      <c r="S15" s="4"/>
      <c r="T15" s="5"/>
      <c r="U15" s="5"/>
      <c r="V15" s="7"/>
      <c r="W15" s="7"/>
      <c r="X15" s="5"/>
      <c r="Y15" s="5"/>
      <c r="Z15" s="5"/>
      <c r="AA15" s="8">
        <f t="shared" si="4"/>
        <v>65000</v>
      </c>
      <c r="AB15" s="9" t="str">
        <f t="shared" si="2"/>
        <v>Pending</v>
      </c>
    </row>
    <row r="16">
      <c r="A16" s="10" t="s">
        <v>242</v>
      </c>
      <c r="B16" s="11">
        <v>15000.0</v>
      </c>
      <c r="C16" s="11" t="s">
        <v>9</v>
      </c>
      <c r="D16" s="12" t="s">
        <v>12</v>
      </c>
      <c r="E16" s="69">
        <v>45787.0</v>
      </c>
      <c r="F16" s="15">
        <v>15000.0</v>
      </c>
      <c r="G16" s="12" t="s">
        <v>12</v>
      </c>
      <c r="H16" s="12" t="s">
        <v>18</v>
      </c>
      <c r="I16" s="11"/>
      <c r="J16" s="12"/>
      <c r="K16" s="15">
        <v>30000.0</v>
      </c>
      <c r="L16" s="12" t="s">
        <v>12</v>
      </c>
      <c r="M16" s="12" t="s">
        <v>18</v>
      </c>
      <c r="N16" s="70"/>
      <c r="O16" s="69">
        <v>45865.0</v>
      </c>
      <c r="P16" s="14"/>
      <c r="Q16" s="14"/>
      <c r="R16" s="14"/>
      <c r="S16" s="11"/>
      <c r="T16" s="12"/>
      <c r="U16" s="12"/>
      <c r="V16" s="14"/>
      <c r="W16" s="14"/>
      <c r="X16" s="12"/>
      <c r="Y16" s="12"/>
      <c r="Z16" s="12"/>
      <c r="AA16" s="16">
        <f t="shared" si="4"/>
        <v>20000</v>
      </c>
      <c r="AB16" s="17" t="str">
        <f t="shared" si="2"/>
        <v>Pending</v>
      </c>
      <c r="AC16" s="18"/>
      <c r="AD16" s="18"/>
      <c r="AE16" s="18"/>
      <c r="AF16" s="18"/>
      <c r="AG16" s="18"/>
      <c r="AH16" s="18"/>
      <c r="AI16" s="18"/>
    </row>
    <row r="17">
      <c r="A17" s="10" t="s">
        <v>243</v>
      </c>
      <c r="B17" s="11">
        <v>15000.0</v>
      </c>
      <c r="C17" s="11" t="s">
        <v>9</v>
      </c>
      <c r="D17" s="12" t="s">
        <v>10</v>
      </c>
      <c r="E17" s="69">
        <v>45787.0</v>
      </c>
      <c r="F17" s="15">
        <v>30000.0</v>
      </c>
      <c r="G17" s="12" t="s">
        <v>12</v>
      </c>
      <c r="H17" s="12" t="s">
        <v>18</v>
      </c>
      <c r="I17" s="11"/>
      <c r="J17" s="12"/>
      <c r="K17" s="15">
        <v>30000.0</v>
      </c>
      <c r="L17" s="14"/>
      <c r="M17" s="14"/>
      <c r="N17" s="11"/>
      <c r="O17" s="12"/>
      <c r="P17" s="14"/>
      <c r="Q17" s="14"/>
      <c r="R17" s="14"/>
      <c r="S17" s="11"/>
      <c r="T17" s="12"/>
      <c r="U17" s="12">
        <v>5000.0</v>
      </c>
      <c r="V17" s="12" t="s">
        <v>12</v>
      </c>
      <c r="W17" s="12" t="s">
        <v>18</v>
      </c>
      <c r="X17" s="12"/>
      <c r="Y17" s="69">
        <v>46047.0</v>
      </c>
      <c r="Z17" s="12"/>
      <c r="AA17" s="16">
        <f>65000 - SUM(F17, K17, P17,U17)</f>
        <v>0</v>
      </c>
      <c r="AB17" s="17" t="str">
        <f t="shared" si="2"/>
        <v>Paid</v>
      </c>
      <c r="AC17" s="18"/>
      <c r="AD17" s="18"/>
      <c r="AE17" s="18"/>
      <c r="AF17" s="18"/>
      <c r="AG17" s="18"/>
      <c r="AH17" s="18"/>
      <c r="AI17" s="18"/>
    </row>
    <row r="18">
      <c r="A18" s="3" t="s">
        <v>244</v>
      </c>
      <c r="B18" s="4">
        <v>15000.0</v>
      </c>
      <c r="C18" s="4" t="s">
        <v>9</v>
      </c>
      <c r="D18" s="5" t="s">
        <v>12</v>
      </c>
      <c r="E18" s="67">
        <v>45788.0</v>
      </c>
      <c r="F18" s="6"/>
      <c r="G18" s="5"/>
      <c r="H18" s="5"/>
      <c r="I18" s="4"/>
      <c r="J18" s="5"/>
      <c r="K18" s="7"/>
      <c r="L18" s="7"/>
      <c r="M18" s="7"/>
      <c r="N18" s="4"/>
      <c r="O18" s="5"/>
      <c r="P18" s="7"/>
      <c r="Q18" s="7"/>
      <c r="R18" s="7"/>
      <c r="S18" s="4"/>
      <c r="T18" s="5"/>
      <c r="U18" s="5"/>
      <c r="V18" s="7"/>
      <c r="W18" s="7"/>
      <c r="X18" s="5"/>
      <c r="Y18" s="5"/>
      <c r="Z18" s="5"/>
      <c r="AA18" s="8">
        <f t="shared" ref="AA18:AA71" si="5">65000 - SUM(F18, K18, P18)</f>
        <v>65000</v>
      </c>
      <c r="AB18" s="9" t="str">
        <f t="shared" si="2"/>
        <v>Pending</v>
      </c>
    </row>
    <row r="19">
      <c r="A19" s="10" t="s">
        <v>245</v>
      </c>
      <c r="B19" s="11">
        <v>15000.0</v>
      </c>
      <c r="C19" s="11" t="s">
        <v>9</v>
      </c>
      <c r="D19" s="12" t="s">
        <v>12</v>
      </c>
      <c r="E19" s="69">
        <v>45794.0</v>
      </c>
      <c r="F19" s="15">
        <v>15000.0</v>
      </c>
      <c r="G19" s="12" t="s">
        <v>10</v>
      </c>
      <c r="H19" s="12" t="s">
        <v>18</v>
      </c>
      <c r="I19" s="70"/>
      <c r="J19" s="69">
        <v>45865.0</v>
      </c>
      <c r="K19" s="14"/>
      <c r="L19" s="14"/>
      <c r="M19" s="14"/>
      <c r="N19" s="11"/>
      <c r="O19" s="12"/>
      <c r="P19" s="14"/>
      <c r="Q19" s="14"/>
      <c r="R19" s="14"/>
      <c r="S19" s="11"/>
      <c r="T19" s="12"/>
      <c r="U19" s="12"/>
      <c r="V19" s="14"/>
      <c r="W19" s="14"/>
      <c r="X19" s="12"/>
      <c r="Y19" s="12"/>
      <c r="Z19" s="12"/>
      <c r="AA19" s="16">
        <f t="shared" si="5"/>
        <v>50000</v>
      </c>
      <c r="AB19" s="17" t="str">
        <f t="shared" si="2"/>
        <v>Pending</v>
      </c>
      <c r="AC19" s="18"/>
      <c r="AD19" s="18"/>
      <c r="AE19" s="18"/>
      <c r="AF19" s="18"/>
      <c r="AG19" s="18"/>
      <c r="AH19" s="18"/>
      <c r="AI19" s="18"/>
    </row>
    <row r="20">
      <c r="A20" s="3" t="s">
        <v>246</v>
      </c>
      <c r="B20" s="4">
        <v>15000.0</v>
      </c>
      <c r="C20" s="4" t="s">
        <v>9</v>
      </c>
      <c r="D20" s="5" t="s">
        <v>12</v>
      </c>
      <c r="E20" s="67">
        <v>45794.0</v>
      </c>
      <c r="F20" s="6">
        <v>10000.0</v>
      </c>
      <c r="G20" s="5" t="s">
        <v>12</v>
      </c>
      <c r="H20" s="5" t="s">
        <v>9</v>
      </c>
      <c r="I20" s="68"/>
      <c r="J20" s="67">
        <v>45857.0</v>
      </c>
      <c r="K20" s="7"/>
      <c r="L20" s="7"/>
      <c r="M20" s="7"/>
      <c r="N20" s="4"/>
      <c r="O20" s="5"/>
      <c r="P20" s="7"/>
      <c r="Q20" s="7"/>
      <c r="R20" s="7"/>
      <c r="S20" s="4"/>
      <c r="T20" s="5"/>
      <c r="U20" s="5"/>
      <c r="V20" s="7"/>
      <c r="W20" s="7"/>
      <c r="X20" s="5"/>
      <c r="Y20" s="5"/>
      <c r="Z20" s="5"/>
      <c r="AA20" s="8">
        <f t="shared" si="5"/>
        <v>55000</v>
      </c>
      <c r="AB20" s="9" t="str">
        <f t="shared" si="2"/>
        <v>Pending</v>
      </c>
    </row>
    <row r="21">
      <c r="A21" s="3" t="s">
        <v>247</v>
      </c>
      <c r="B21" s="4">
        <v>15000.0</v>
      </c>
      <c r="C21" s="4" t="s">
        <v>9</v>
      </c>
      <c r="D21" s="5" t="s">
        <v>12</v>
      </c>
      <c r="E21" s="67">
        <v>45794.0</v>
      </c>
      <c r="F21" s="7"/>
      <c r="G21" s="7"/>
      <c r="H21" s="7"/>
      <c r="I21" s="4"/>
      <c r="J21" s="5"/>
      <c r="K21" s="7"/>
      <c r="L21" s="7"/>
      <c r="M21" s="7"/>
      <c r="N21" s="4"/>
      <c r="O21" s="5"/>
      <c r="P21" s="7"/>
      <c r="Q21" s="7"/>
      <c r="R21" s="7"/>
      <c r="S21" s="4"/>
      <c r="T21" s="5"/>
      <c r="U21" s="5"/>
      <c r="V21" s="7"/>
      <c r="W21" s="7"/>
      <c r="X21" s="5"/>
      <c r="Y21" s="5"/>
      <c r="Z21" s="5"/>
      <c r="AA21" s="8">
        <f t="shared" si="5"/>
        <v>65000</v>
      </c>
      <c r="AB21" s="9" t="str">
        <f t="shared" si="2"/>
        <v>Pending</v>
      </c>
    </row>
    <row r="22">
      <c r="A22" s="20" t="s">
        <v>248</v>
      </c>
      <c r="B22" s="21" t="s">
        <v>249</v>
      </c>
      <c r="C22" s="21" t="s">
        <v>18</v>
      </c>
      <c r="D22" s="22" t="s">
        <v>18</v>
      </c>
      <c r="E22" s="71">
        <v>45794.0</v>
      </c>
      <c r="F22" s="23">
        <v>20000.0</v>
      </c>
      <c r="G22" s="22" t="s">
        <v>12</v>
      </c>
      <c r="H22" s="22" t="s">
        <v>9</v>
      </c>
      <c r="I22" s="72"/>
      <c r="J22" s="71">
        <v>45794.0</v>
      </c>
      <c r="K22" s="23">
        <v>45000.0</v>
      </c>
      <c r="L22" s="22" t="s">
        <v>10</v>
      </c>
      <c r="M22" s="22" t="s">
        <v>9</v>
      </c>
      <c r="N22" s="72"/>
      <c r="O22" s="71">
        <v>45864.0</v>
      </c>
      <c r="P22" s="29"/>
      <c r="Q22" s="29"/>
      <c r="R22" s="29"/>
      <c r="S22" s="21"/>
      <c r="T22" s="22"/>
      <c r="U22" s="22"/>
      <c r="V22" s="7"/>
      <c r="W22" s="7"/>
      <c r="X22" s="22"/>
      <c r="Y22" s="22"/>
      <c r="Z22" s="22"/>
      <c r="AA22" s="24">
        <f t="shared" si="5"/>
        <v>0</v>
      </c>
      <c r="AB22" s="25" t="str">
        <f t="shared" si="2"/>
        <v>Paid</v>
      </c>
      <c r="AC22" s="26"/>
      <c r="AD22" s="26"/>
      <c r="AE22" s="26"/>
      <c r="AF22" s="26"/>
      <c r="AG22" s="26"/>
      <c r="AH22" s="26"/>
      <c r="AI22" s="26"/>
    </row>
    <row r="23">
      <c r="A23" s="3" t="s">
        <v>250</v>
      </c>
      <c r="B23" s="4">
        <v>15000.0</v>
      </c>
      <c r="C23" s="4" t="s">
        <v>9</v>
      </c>
      <c r="D23" s="5" t="s">
        <v>12</v>
      </c>
      <c r="E23" s="67">
        <v>45795.0</v>
      </c>
      <c r="F23" s="6">
        <v>20000.0</v>
      </c>
      <c r="G23" s="5" t="s">
        <v>12</v>
      </c>
      <c r="H23" s="5"/>
      <c r="I23" s="68"/>
      <c r="J23" s="67">
        <v>45802.0</v>
      </c>
      <c r="K23" s="7"/>
      <c r="L23" s="7"/>
      <c r="M23" s="7"/>
      <c r="N23" s="4"/>
      <c r="O23" s="5"/>
      <c r="P23" s="7"/>
      <c r="Q23" s="7"/>
      <c r="R23" s="7"/>
      <c r="S23" s="4"/>
      <c r="T23" s="5"/>
      <c r="U23" s="5"/>
      <c r="V23" s="7"/>
      <c r="W23" s="7"/>
      <c r="X23" s="5"/>
      <c r="Y23" s="5"/>
      <c r="Z23" s="5"/>
      <c r="AA23" s="8">
        <f t="shared" si="5"/>
        <v>45000</v>
      </c>
      <c r="AB23" s="9" t="str">
        <f t="shared" si="2"/>
        <v>Pending</v>
      </c>
    </row>
    <row r="24">
      <c r="A24" s="3" t="s">
        <v>251</v>
      </c>
      <c r="B24" s="4">
        <v>15000.0</v>
      </c>
      <c r="C24" s="4" t="s">
        <v>9</v>
      </c>
      <c r="D24" s="5" t="s">
        <v>12</v>
      </c>
      <c r="E24" s="67">
        <v>45801.0</v>
      </c>
      <c r="F24" s="6"/>
      <c r="G24" s="5"/>
      <c r="H24" s="5"/>
      <c r="I24" s="4"/>
      <c r="J24" s="5"/>
      <c r="K24" s="7"/>
      <c r="L24" s="7"/>
      <c r="M24" s="7"/>
      <c r="N24" s="4"/>
      <c r="O24" s="5"/>
      <c r="P24" s="7"/>
      <c r="Q24" s="7"/>
      <c r="R24" s="7"/>
      <c r="S24" s="4"/>
      <c r="T24" s="5"/>
      <c r="U24" s="5"/>
      <c r="V24" s="7"/>
      <c r="W24" s="7"/>
      <c r="X24" s="5"/>
      <c r="Y24" s="5"/>
      <c r="Z24" s="5"/>
      <c r="AA24" s="8">
        <f t="shared" si="5"/>
        <v>65000</v>
      </c>
      <c r="AB24" s="9" t="str">
        <f t="shared" si="2"/>
        <v>Pending</v>
      </c>
    </row>
    <row r="25">
      <c r="A25" s="3" t="s">
        <v>252</v>
      </c>
      <c r="B25" s="4">
        <v>15000.0</v>
      </c>
      <c r="C25" s="4" t="s">
        <v>9</v>
      </c>
      <c r="D25" s="5" t="s">
        <v>12</v>
      </c>
      <c r="E25" s="67">
        <v>45801.0</v>
      </c>
      <c r="F25" s="6"/>
      <c r="G25" s="5"/>
      <c r="H25" s="5"/>
      <c r="I25" s="4"/>
      <c r="J25" s="5"/>
      <c r="K25" s="7"/>
      <c r="L25" s="7"/>
      <c r="M25" s="7"/>
      <c r="N25" s="4"/>
      <c r="O25" s="5"/>
      <c r="P25" s="7"/>
      <c r="Q25" s="7"/>
      <c r="R25" s="7"/>
      <c r="S25" s="4"/>
      <c r="T25" s="5"/>
      <c r="U25" s="5"/>
      <c r="V25" s="7"/>
      <c r="W25" s="7"/>
      <c r="X25" s="5"/>
      <c r="Y25" s="5"/>
      <c r="Z25" s="5"/>
      <c r="AA25" s="8">
        <f t="shared" si="5"/>
        <v>65000</v>
      </c>
      <c r="AB25" s="9" t="str">
        <f t="shared" si="2"/>
        <v>Pending</v>
      </c>
    </row>
    <row r="26">
      <c r="A26" s="3" t="s">
        <v>253</v>
      </c>
      <c r="B26" s="4">
        <v>15000.0</v>
      </c>
      <c r="C26" s="4" t="s">
        <v>9</v>
      </c>
      <c r="D26" s="5" t="s">
        <v>12</v>
      </c>
      <c r="E26" s="67">
        <v>45801.0</v>
      </c>
      <c r="F26" s="6"/>
      <c r="G26" s="5"/>
      <c r="H26" s="5"/>
      <c r="I26" s="4"/>
      <c r="J26" s="5"/>
      <c r="K26" s="7"/>
      <c r="L26" s="7"/>
      <c r="M26" s="7"/>
      <c r="N26" s="4"/>
      <c r="O26" s="5"/>
      <c r="P26" s="7"/>
      <c r="Q26" s="7"/>
      <c r="R26" s="7"/>
      <c r="S26" s="4"/>
      <c r="T26" s="5"/>
      <c r="U26" s="5"/>
      <c r="V26" s="7"/>
      <c r="W26" s="7"/>
      <c r="X26" s="5"/>
      <c r="Y26" s="5"/>
      <c r="Z26" s="5"/>
      <c r="AA26" s="8">
        <f t="shared" si="5"/>
        <v>65000</v>
      </c>
      <c r="AB26" s="9" t="str">
        <f t="shared" si="2"/>
        <v>Pending</v>
      </c>
    </row>
    <row r="27">
      <c r="A27" s="3" t="s">
        <v>254</v>
      </c>
      <c r="B27" s="4">
        <v>15000.0</v>
      </c>
      <c r="C27" s="4" t="s">
        <v>9</v>
      </c>
      <c r="D27" s="5" t="s">
        <v>10</v>
      </c>
      <c r="E27" s="67">
        <v>45801.0</v>
      </c>
      <c r="F27" s="6"/>
      <c r="G27" s="5"/>
      <c r="H27" s="5"/>
      <c r="I27" s="4"/>
      <c r="J27" s="5"/>
      <c r="K27" s="7"/>
      <c r="L27" s="7"/>
      <c r="M27" s="7"/>
      <c r="N27" s="4"/>
      <c r="O27" s="5"/>
      <c r="P27" s="7"/>
      <c r="Q27" s="7"/>
      <c r="R27" s="7"/>
      <c r="S27" s="4"/>
      <c r="T27" s="5"/>
      <c r="U27" s="5"/>
      <c r="V27" s="7"/>
      <c r="W27" s="7"/>
      <c r="X27" s="5"/>
      <c r="Y27" s="5"/>
      <c r="Z27" s="5"/>
      <c r="AA27" s="8">
        <f t="shared" si="5"/>
        <v>65000</v>
      </c>
      <c r="AB27" s="9" t="str">
        <f t="shared" si="2"/>
        <v>Pending</v>
      </c>
    </row>
    <row r="28">
      <c r="A28" s="10" t="s">
        <v>255</v>
      </c>
      <c r="B28" s="11">
        <v>15000.0</v>
      </c>
      <c r="C28" s="11" t="s">
        <v>9</v>
      </c>
      <c r="D28" s="12" t="s">
        <v>10</v>
      </c>
      <c r="E28" s="69">
        <v>45801.0</v>
      </c>
      <c r="F28" s="15"/>
      <c r="G28" s="12"/>
      <c r="H28" s="12"/>
      <c r="I28" s="11"/>
      <c r="J28" s="12"/>
      <c r="K28" s="14"/>
      <c r="L28" s="14"/>
      <c r="M28" s="14"/>
      <c r="N28" s="11"/>
      <c r="O28" s="12"/>
      <c r="P28" s="14"/>
      <c r="Q28" s="14"/>
      <c r="R28" s="14"/>
      <c r="S28" s="11"/>
      <c r="T28" s="12"/>
      <c r="U28" s="12"/>
      <c r="V28" s="14"/>
      <c r="W28" s="14"/>
      <c r="X28" s="12"/>
      <c r="Y28" s="12"/>
      <c r="Z28" s="12"/>
      <c r="AA28" s="16">
        <f t="shared" si="5"/>
        <v>65000</v>
      </c>
      <c r="AB28" s="17" t="str">
        <f t="shared" si="2"/>
        <v>Pending</v>
      </c>
      <c r="AC28" s="18"/>
      <c r="AD28" s="18"/>
      <c r="AE28" s="18"/>
      <c r="AF28" s="18"/>
      <c r="AG28" s="18"/>
      <c r="AH28" s="18"/>
      <c r="AI28" s="18"/>
    </row>
    <row r="29">
      <c r="A29" s="20" t="s">
        <v>256</v>
      </c>
      <c r="B29" s="21" t="s">
        <v>257</v>
      </c>
      <c r="C29" s="21" t="s">
        <v>18</v>
      </c>
      <c r="D29" s="22" t="s">
        <v>258</v>
      </c>
      <c r="E29" s="71">
        <v>45801.0</v>
      </c>
      <c r="F29" s="23">
        <v>65000.0</v>
      </c>
      <c r="G29" s="22" t="s">
        <v>258</v>
      </c>
      <c r="H29" s="22" t="s">
        <v>18</v>
      </c>
      <c r="I29" s="21"/>
      <c r="J29" s="22"/>
      <c r="K29" s="29"/>
      <c r="L29" s="29"/>
      <c r="M29" s="29"/>
      <c r="N29" s="21"/>
      <c r="O29" s="22"/>
      <c r="P29" s="29"/>
      <c r="Q29" s="29"/>
      <c r="R29" s="29"/>
      <c r="S29" s="21"/>
      <c r="T29" s="22"/>
      <c r="U29" s="22"/>
      <c r="V29" s="7"/>
      <c r="W29" s="7"/>
      <c r="X29" s="22"/>
      <c r="Y29" s="22"/>
      <c r="Z29" s="22"/>
      <c r="AA29" s="24">
        <f t="shared" si="5"/>
        <v>0</v>
      </c>
      <c r="AB29" s="25" t="str">
        <f t="shared" si="2"/>
        <v>Paid</v>
      </c>
      <c r="AC29" s="26"/>
      <c r="AD29" s="26"/>
      <c r="AE29" s="26"/>
      <c r="AF29" s="26"/>
      <c r="AG29" s="26"/>
      <c r="AH29" s="26"/>
      <c r="AI29" s="26"/>
    </row>
    <row r="30">
      <c r="A30" s="20" t="s">
        <v>259</v>
      </c>
      <c r="B30" s="21" t="s">
        <v>257</v>
      </c>
      <c r="C30" s="21" t="s">
        <v>18</v>
      </c>
      <c r="D30" s="22" t="s">
        <v>258</v>
      </c>
      <c r="E30" s="71">
        <v>45801.0</v>
      </c>
      <c r="F30" s="23">
        <v>65000.0</v>
      </c>
      <c r="G30" s="22" t="s">
        <v>258</v>
      </c>
      <c r="H30" s="22" t="s">
        <v>18</v>
      </c>
      <c r="I30" s="21"/>
      <c r="J30" s="22"/>
      <c r="K30" s="29"/>
      <c r="L30" s="29"/>
      <c r="M30" s="29"/>
      <c r="N30" s="21"/>
      <c r="O30" s="22"/>
      <c r="P30" s="29"/>
      <c r="Q30" s="29"/>
      <c r="R30" s="29"/>
      <c r="S30" s="21"/>
      <c r="T30" s="22"/>
      <c r="U30" s="22"/>
      <c r="V30" s="7"/>
      <c r="W30" s="7"/>
      <c r="X30" s="22"/>
      <c r="Y30" s="22"/>
      <c r="Z30" s="22"/>
      <c r="AA30" s="24">
        <f t="shared" si="5"/>
        <v>0</v>
      </c>
      <c r="AB30" s="25" t="str">
        <f t="shared" si="2"/>
        <v>Paid</v>
      </c>
      <c r="AC30" s="26"/>
      <c r="AD30" s="26"/>
      <c r="AE30" s="26"/>
      <c r="AF30" s="26"/>
      <c r="AG30" s="26"/>
      <c r="AH30" s="26"/>
      <c r="AI30" s="26"/>
    </row>
    <row r="31">
      <c r="A31" s="3" t="s">
        <v>260</v>
      </c>
      <c r="B31" s="4">
        <v>15000.0</v>
      </c>
      <c r="C31" s="4"/>
      <c r="D31" s="5" t="s">
        <v>12</v>
      </c>
      <c r="E31" s="67">
        <v>45802.0</v>
      </c>
      <c r="F31" s="6"/>
      <c r="G31" s="5"/>
      <c r="H31" s="5"/>
      <c r="I31" s="4"/>
      <c r="J31" s="5"/>
      <c r="K31" s="7"/>
      <c r="L31" s="7"/>
      <c r="M31" s="7"/>
      <c r="N31" s="4"/>
      <c r="O31" s="5"/>
      <c r="P31" s="7"/>
      <c r="Q31" s="7"/>
      <c r="R31" s="7"/>
      <c r="S31" s="4"/>
      <c r="T31" s="5"/>
      <c r="U31" s="5"/>
      <c r="V31" s="7"/>
      <c r="W31" s="7"/>
      <c r="X31" s="5"/>
      <c r="Y31" s="5"/>
      <c r="Z31" s="5"/>
      <c r="AA31" s="8">
        <f t="shared" si="5"/>
        <v>65000</v>
      </c>
      <c r="AB31" s="9" t="str">
        <f t="shared" si="2"/>
        <v>Pending</v>
      </c>
    </row>
    <row r="32">
      <c r="A32" s="10" t="s">
        <v>261</v>
      </c>
      <c r="B32" s="11">
        <v>15000.0</v>
      </c>
      <c r="C32" s="11" t="s">
        <v>9</v>
      </c>
      <c r="D32" s="12" t="s">
        <v>12</v>
      </c>
      <c r="E32" s="69">
        <v>45802.0</v>
      </c>
      <c r="F32" s="15">
        <v>20000.0</v>
      </c>
      <c r="G32" s="12" t="s">
        <v>12</v>
      </c>
      <c r="H32" s="12" t="s">
        <v>9</v>
      </c>
      <c r="I32" s="70"/>
      <c r="J32" s="69">
        <v>45858.0</v>
      </c>
      <c r="K32" s="14"/>
      <c r="L32" s="14"/>
      <c r="M32" s="14"/>
      <c r="N32" s="11"/>
      <c r="O32" s="12"/>
      <c r="P32" s="14"/>
      <c r="Q32" s="14"/>
      <c r="R32" s="14"/>
      <c r="S32" s="11"/>
      <c r="T32" s="12"/>
      <c r="U32" s="12"/>
      <c r="V32" s="14"/>
      <c r="W32" s="14"/>
      <c r="X32" s="12"/>
      <c r="Y32" s="12"/>
      <c r="Z32" s="12"/>
      <c r="AA32" s="16">
        <f t="shared" si="5"/>
        <v>45000</v>
      </c>
      <c r="AB32" s="17" t="str">
        <f t="shared" si="2"/>
        <v>Pending</v>
      </c>
      <c r="AC32" s="18"/>
      <c r="AD32" s="18"/>
      <c r="AE32" s="18"/>
      <c r="AF32" s="18"/>
      <c r="AG32" s="18"/>
      <c r="AH32" s="18"/>
      <c r="AI32" s="18"/>
    </row>
    <row r="33">
      <c r="A33" s="10" t="s">
        <v>262</v>
      </c>
      <c r="B33" s="11">
        <v>15000.0</v>
      </c>
      <c r="C33" s="11" t="s">
        <v>9</v>
      </c>
      <c r="D33" s="12" t="s">
        <v>10</v>
      </c>
      <c r="E33" s="69">
        <v>45802.0</v>
      </c>
      <c r="F33" s="15">
        <v>15000.0</v>
      </c>
      <c r="G33" s="12" t="s">
        <v>10</v>
      </c>
      <c r="H33" s="12" t="s">
        <v>9</v>
      </c>
      <c r="I33" s="70"/>
      <c r="J33" s="69">
        <v>45822.0</v>
      </c>
      <c r="K33" s="15">
        <v>30000.0</v>
      </c>
      <c r="L33" s="12" t="s">
        <v>10</v>
      </c>
      <c r="M33" s="12" t="s">
        <v>18</v>
      </c>
      <c r="N33" s="70"/>
      <c r="O33" s="69">
        <v>45878.0</v>
      </c>
      <c r="P33" s="15">
        <v>15000.0</v>
      </c>
      <c r="Q33" s="12" t="s">
        <v>10</v>
      </c>
      <c r="R33" s="12" t="s">
        <v>18</v>
      </c>
      <c r="S33" s="11"/>
      <c r="T33" s="12"/>
      <c r="U33" s="12"/>
      <c r="V33" s="14"/>
      <c r="W33" s="14"/>
      <c r="X33" s="12"/>
      <c r="Y33" s="12"/>
      <c r="Z33" s="12"/>
      <c r="AA33" s="16">
        <f t="shared" si="5"/>
        <v>5000</v>
      </c>
      <c r="AB33" s="17" t="str">
        <f t="shared" si="2"/>
        <v>Pending</v>
      </c>
      <c r="AC33" s="18"/>
      <c r="AD33" s="18"/>
      <c r="AE33" s="18"/>
      <c r="AF33" s="18"/>
      <c r="AG33" s="18"/>
      <c r="AH33" s="18"/>
      <c r="AI33" s="18"/>
    </row>
    <row r="34">
      <c r="A34" s="10" t="s">
        <v>263</v>
      </c>
      <c r="B34" s="11">
        <v>15000.0</v>
      </c>
      <c r="C34" s="11" t="s">
        <v>9</v>
      </c>
      <c r="D34" s="12" t="s">
        <v>12</v>
      </c>
      <c r="E34" s="69">
        <v>45802.0</v>
      </c>
      <c r="F34" s="15">
        <v>20000.0</v>
      </c>
      <c r="G34" s="12" t="s">
        <v>12</v>
      </c>
      <c r="H34" s="12" t="s">
        <v>9</v>
      </c>
      <c r="I34" s="70"/>
      <c r="J34" s="69">
        <v>45829.0</v>
      </c>
      <c r="K34" s="15">
        <v>20000.0</v>
      </c>
      <c r="L34" s="12" t="s">
        <v>12</v>
      </c>
      <c r="M34" s="12" t="s">
        <v>9</v>
      </c>
      <c r="N34" s="70"/>
      <c r="O34" s="69">
        <v>45851.0</v>
      </c>
      <c r="P34" s="15">
        <v>10000.0</v>
      </c>
      <c r="Q34" s="12" t="s">
        <v>12</v>
      </c>
      <c r="R34" s="12" t="s">
        <v>18</v>
      </c>
      <c r="S34" s="11"/>
      <c r="T34" s="69">
        <v>45914.0</v>
      </c>
      <c r="U34" s="15">
        <v>15000.0</v>
      </c>
      <c r="V34" s="12" t="s">
        <v>12</v>
      </c>
      <c r="W34" s="12" t="s">
        <v>18</v>
      </c>
      <c r="X34" s="12"/>
      <c r="Y34" s="69">
        <v>46047.0</v>
      </c>
      <c r="Z34" s="12"/>
      <c r="AA34" s="16">
        <f t="shared" si="5"/>
        <v>15000</v>
      </c>
      <c r="AB34" s="17" t="str">
        <f t="shared" si="2"/>
        <v>Pending</v>
      </c>
      <c r="AC34" s="18"/>
      <c r="AD34" s="18"/>
      <c r="AE34" s="18"/>
      <c r="AF34" s="18"/>
      <c r="AG34" s="18"/>
      <c r="AH34" s="18"/>
      <c r="AI34" s="18"/>
    </row>
    <row r="35">
      <c r="A35" s="10" t="s">
        <v>264</v>
      </c>
      <c r="B35" s="11">
        <v>15000.0</v>
      </c>
      <c r="C35" s="11"/>
      <c r="D35" s="12" t="s">
        <v>10</v>
      </c>
      <c r="E35" s="69">
        <v>45765.0</v>
      </c>
      <c r="F35" s="15">
        <v>40000.0</v>
      </c>
      <c r="G35" s="12" t="s">
        <v>12</v>
      </c>
      <c r="H35" s="12" t="s">
        <v>9</v>
      </c>
      <c r="I35" s="70"/>
      <c r="J35" s="69">
        <v>45885.0</v>
      </c>
      <c r="K35" s="14"/>
      <c r="L35" s="14"/>
      <c r="M35" s="14"/>
      <c r="N35" s="11"/>
      <c r="O35" s="12"/>
      <c r="P35" s="14"/>
      <c r="Q35" s="14"/>
      <c r="R35" s="14"/>
      <c r="S35" s="11"/>
      <c r="T35" s="12"/>
      <c r="U35" s="12"/>
      <c r="V35" s="14"/>
      <c r="W35" s="14"/>
      <c r="X35" s="12"/>
      <c r="Y35" s="12"/>
      <c r="Z35" s="12"/>
      <c r="AA35" s="16">
        <f t="shared" si="5"/>
        <v>25000</v>
      </c>
      <c r="AB35" s="17" t="str">
        <f t="shared" si="2"/>
        <v>Pending</v>
      </c>
      <c r="AC35" s="18"/>
      <c r="AD35" s="18"/>
      <c r="AE35" s="18"/>
      <c r="AF35" s="18"/>
      <c r="AG35" s="18"/>
      <c r="AH35" s="18"/>
      <c r="AI35" s="18"/>
    </row>
    <row r="36">
      <c r="A36" s="20" t="s">
        <v>265</v>
      </c>
      <c r="B36" s="21">
        <v>15000.0</v>
      </c>
      <c r="C36" s="21" t="s">
        <v>9</v>
      </c>
      <c r="D36" s="22" t="s">
        <v>12</v>
      </c>
      <c r="E36" s="71">
        <v>45816.0</v>
      </c>
      <c r="F36" s="23">
        <v>16000.0</v>
      </c>
      <c r="G36" s="22" t="s">
        <v>12</v>
      </c>
      <c r="H36" s="22" t="s">
        <v>18</v>
      </c>
      <c r="I36" s="72"/>
      <c r="J36" s="71">
        <v>45893.0</v>
      </c>
      <c r="K36" s="29"/>
      <c r="L36" s="29"/>
      <c r="M36" s="29"/>
      <c r="N36" s="21"/>
      <c r="O36" s="22"/>
      <c r="P36" s="23">
        <v>49000.0</v>
      </c>
      <c r="Q36" s="22" t="s">
        <v>12</v>
      </c>
      <c r="R36" s="22" t="s">
        <v>9</v>
      </c>
      <c r="S36" s="21">
        <v>131.0</v>
      </c>
      <c r="T36" s="71">
        <v>45956.0</v>
      </c>
      <c r="U36" s="71"/>
      <c r="V36" s="7"/>
      <c r="W36" s="7"/>
      <c r="X36" s="71"/>
      <c r="Y36" s="71"/>
      <c r="Z36" s="71"/>
      <c r="AA36" s="24">
        <f t="shared" si="5"/>
        <v>0</v>
      </c>
      <c r="AB36" s="25" t="str">
        <f t="shared" si="2"/>
        <v>Paid</v>
      </c>
      <c r="AC36" s="26"/>
      <c r="AD36" s="26"/>
      <c r="AE36" s="26"/>
      <c r="AF36" s="26"/>
      <c r="AG36" s="26"/>
      <c r="AH36" s="26"/>
      <c r="AI36" s="26"/>
    </row>
    <row r="37">
      <c r="A37" s="3" t="s">
        <v>266</v>
      </c>
      <c r="B37" s="4">
        <v>15000.0</v>
      </c>
      <c r="C37" s="4" t="s">
        <v>9</v>
      </c>
      <c r="D37" s="5" t="s">
        <v>12</v>
      </c>
      <c r="E37" s="67">
        <v>45823.0</v>
      </c>
      <c r="F37" s="6">
        <v>10000.0</v>
      </c>
      <c r="G37" s="5" t="s">
        <v>12</v>
      </c>
      <c r="H37" s="5" t="s">
        <v>18</v>
      </c>
      <c r="I37" s="68"/>
      <c r="J37" s="67">
        <v>45893.0</v>
      </c>
      <c r="K37" s="7"/>
      <c r="L37" s="7"/>
      <c r="M37" s="7"/>
      <c r="N37" s="4"/>
      <c r="O37" s="5"/>
      <c r="P37" s="6">
        <v>10000.0</v>
      </c>
      <c r="Q37" s="5" t="s">
        <v>12</v>
      </c>
      <c r="R37" s="7"/>
      <c r="S37" s="4">
        <v>122.0</v>
      </c>
      <c r="T37" s="67">
        <v>45956.0</v>
      </c>
      <c r="U37" s="67"/>
      <c r="V37" s="7"/>
      <c r="W37" s="7"/>
      <c r="X37" s="67"/>
      <c r="Y37" s="67"/>
      <c r="Z37" s="67"/>
      <c r="AA37" s="8">
        <f t="shared" si="5"/>
        <v>45000</v>
      </c>
      <c r="AB37" s="9" t="str">
        <f t="shared" si="2"/>
        <v>Pending</v>
      </c>
    </row>
    <row r="38">
      <c r="A38" s="20" t="s">
        <v>267</v>
      </c>
      <c r="B38" s="21">
        <v>15000.0</v>
      </c>
      <c r="C38" s="21" t="s">
        <v>18</v>
      </c>
      <c r="D38" s="22" t="s">
        <v>12</v>
      </c>
      <c r="E38" s="71">
        <v>45829.0</v>
      </c>
      <c r="F38" s="23">
        <v>25000.0</v>
      </c>
      <c r="G38" s="22" t="s">
        <v>12</v>
      </c>
      <c r="H38" s="22" t="s">
        <v>18</v>
      </c>
      <c r="I38" s="72"/>
      <c r="J38" s="71">
        <v>45857.0</v>
      </c>
      <c r="K38" s="23">
        <v>20000.0</v>
      </c>
      <c r="L38" s="22" t="s">
        <v>12</v>
      </c>
      <c r="M38" s="22" t="s">
        <v>18</v>
      </c>
      <c r="N38" s="72"/>
      <c r="O38" s="71">
        <v>45892.0</v>
      </c>
      <c r="P38" s="23">
        <v>20000.0</v>
      </c>
      <c r="Q38" s="22" t="s">
        <v>12</v>
      </c>
      <c r="R38" s="22" t="s">
        <v>9</v>
      </c>
      <c r="S38" s="21">
        <v>109.0</v>
      </c>
      <c r="T38" s="71">
        <v>45941.0</v>
      </c>
      <c r="U38" s="71"/>
      <c r="V38" s="7"/>
      <c r="W38" s="7"/>
      <c r="X38" s="71"/>
      <c r="Y38" s="71"/>
      <c r="Z38" s="71"/>
      <c r="AA38" s="24">
        <f t="shared" si="5"/>
        <v>0</v>
      </c>
      <c r="AB38" s="25" t="str">
        <f t="shared" si="2"/>
        <v>Paid</v>
      </c>
      <c r="AC38" s="26"/>
      <c r="AD38" s="26"/>
      <c r="AE38" s="26"/>
      <c r="AF38" s="26"/>
      <c r="AG38" s="26"/>
      <c r="AH38" s="26"/>
      <c r="AI38" s="26"/>
    </row>
    <row r="39">
      <c r="A39" s="3" t="s">
        <v>268</v>
      </c>
      <c r="B39" s="4">
        <v>15000.0</v>
      </c>
      <c r="C39" s="4" t="s">
        <v>18</v>
      </c>
      <c r="D39" s="5" t="s">
        <v>12</v>
      </c>
      <c r="E39" s="67">
        <v>45829.0</v>
      </c>
      <c r="F39" s="6"/>
      <c r="G39" s="5"/>
      <c r="H39" s="5"/>
      <c r="I39" s="4"/>
      <c r="J39" s="5"/>
      <c r="K39" s="7"/>
      <c r="L39" s="7"/>
      <c r="M39" s="7"/>
      <c r="N39" s="4"/>
      <c r="O39" s="5"/>
      <c r="P39" s="7"/>
      <c r="Q39" s="7"/>
      <c r="R39" s="7"/>
      <c r="S39" s="4"/>
      <c r="T39" s="5"/>
      <c r="U39" s="5"/>
      <c r="V39" s="7"/>
      <c r="W39" s="7"/>
      <c r="X39" s="5"/>
      <c r="Y39" s="5"/>
      <c r="Z39" s="5"/>
      <c r="AA39" s="8">
        <f t="shared" si="5"/>
        <v>65000</v>
      </c>
      <c r="AB39" s="9" t="str">
        <f t="shared" si="2"/>
        <v>Pending</v>
      </c>
    </row>
    <row r="40">
      <c r="A40" s="3" t="s">
        <v>269</v>
      </c>
      <c r="B40" s="4">
        <v>15000.0</v>
      </c>
      <c r="C40" s="4" t="s">
        <v>18</v>
      </c>
      <c r="D40" s="5" t="s">
        <v>12</v>
      </c>
      <c r="E40" s="67">
        <v>45829.0</v>
      </c>
      <c r="F40" s="6">
        <v>15000.0</v>
      </c>
      <c r="G40" s="5" t="s">
        <v>12</v>
      </c>
      <c r="H40" s="5" t="s">
        <v>18</v>
      </c>
      <c r="I40" s="68"/>
      <c r="J40" s="67">
        <v>45878.0</v>
      </c>
      <c r="K40" s="5">
        <v>5000.0</v>
      </c>
      <c r="L40" s="5" t="s">
        <v>12</v>
      </c>
      <c r="M40" s="5" t="s">
        <v>18</v>
      </c>
      <c r="N40" s="4"/>
      <c r="O40" s="5"/>
      <c r="P40" s="7"/>
      <c r="Q40" s="7"/>
      <c r="R40" s="7"/>
      <c r="S40" s="4"/>
      <c r="T40" s="5"/>
      <c r="U40" s="5"/>
      <c r="V40" s="7"/>
      <c r="W40" s="7"/>
      <c r="X40" s="5"/>
      <c r="Y40" s="5"/>
      <c r="Z40" s="5"/>
      <c r="AA40" s="8">
        <f t="shared" si="5"/>
        <v>45000</v>
      </c>
      <c r="AB40" s="9" t="str">
        <f t="shared" si="2"/>
        <v>Pending</v>
      </c>
    </row>
    <row r="41">
      <c r="A41" s="10" t="s">
        <v>270</v>
      </c>
      <c r="B41" s="11">
        <v>15000.0</v>
      </c>
      <c r="C41" s="11" t="s">
        <v>9</v>
      </c>
      <c r="D41" s="12" t="s">
        <v>10</v>
      </c>
      <c r="E41" s="69">
        <v>45829.0</v>
      </c>
      <c r="F41" s="15">
        <v>17000.0</v>
      </c>
      <c r="G41" s="12" t="s">
        <v>10</v>
      </c>
      <c r="H41" s="12" t="s">
        <v>9</v>
      </c>
      <c r="I41" s="70"/>
      <c r="J41" s="69">
        <v>45857.0</v>
      </c>
      <c r="K41" s="15">
        <v>16000.0</v>
      </c>
      <c r="L41" s="12" t="s">
        <v>10</v>
      </c>
      <c r="M41" s="12" t="s">
        <v>18</v>
      </c>
      <c r="N41" s="70"/>
      <c r="O41" s="69">
        <v>45892.0</v>
      </c>
      <c r="P41" s="15">
        <v>30000.0</v>
      </c>
      <c r="Q41" s="12" t="s">
        <v>12</v>
      </c>
      <c r="R41" s="14"/>
      <c r="S41" s="11">
        <v>147.0</v>
      </c>
      <c r="T41" s="12" t="s">
        <v>271</v>
      </c>
      <c r="U41" s="12"/>
      <c r="V41" s="14"/>
      <c r="W41" s="14"/>
      <c r="X41" s="12"/>
      <c r="Y41" s="12"/>
      <c r="Z41" s="12"/>
      <c r="AA41" s="16">
        <f t="shared" si="5"/>
        <v>2000</v>
      </c>
      <c r="AB41" s="17" t="str">
        <f t="shared" si="2"/>
        <v>Pending</v>
      </c>
      <c r="AC41" s="18"/>
      <c r="AD41" s="18"/>
      <c r="AE41" s="18"/>
      <c r="AF41" s="18"/>
      <c r="AG41" s="18"/>
      <c r="AH41" s="18"/>
      <c r="AI41" s="18"/>
    </row>
    <row r="42">
      <c r="A42" s="10" t="s">
        <v>272</v>
      </c>
      <c r="B42" s="11">
        <v>15000.0</v>
      </c>
      <c r="C42" s="11" t="s">
        <v>9</v>
      </c>
      <c r="D42" s="12" t="s">
        <v>12</v>
      </c>
      <c r="E42" s="69">
        <v>45829.0</v>
      </c>
      <c r="F42" s="15"/>
      <c r="G42" s="12"/>
      <c r="H42" s="12"/>
      <c r="I42" s="11"/>
      <c r="J42" s="12"/>
      <c r="K42" s="14"/>
      <c r="L42" s="14"/>
      <c r="M42" s="14"/>
      <c r="N42" s="11"/>
      <c r="O42" s="12"/>
      <c r="P42" s="14"/>
      <c r="Q42" s="14"/>
      <c r="R42" s="14"/>
      <c r="S42" s="11"/>
      <c r="T42" s="12"/>
      <c r="U42" s="12"/>
      <c r="V42" s="14"/>
      <c r="W42" s="14"/>
      <c r="X42" s="12"/>
      <c r="Y42" s="12"/>
      <c r="Z42" s="12"/>
      <c r="AA42" s="16">
        <f t="shared" si="5"/>
        <v>65000</v>
      </c>
      <c r="AB42" s="17" t="str">
        <f t="shared" si="2"/>
        <v>Pending</v>
      </c>
      <c r="AC42" s="18"/>
      <c r="AD42" s="18"/>
      <c r="AE42" s="18"/>
      <c r="AF42" s="18"/>
      <c r="AG42" s="18"/>
      <c r="AH42" s="18"/>
      <c r="AI42" s="18"/>
    </row>
    <row r="43">
      <c r="A43" s="3" t="s">
        <v>273</v>
      </c>
      <c r="B43" s="4">
        <v>15000.0</v>
      </c>
      <c r="C43" s="4" t="s">
        <v>18</v>
      </c>
      <c r="D43" s="5" t="s">
        <v>12</v>
      </c>
      <c r="E43" s="67">
        <v>45829.0</v>
      </c>
      <c r="F43" s="6">
        <v>22000.0</v>
      </c>
      <c r="G43" s="5" t="s">
        <v>12</v>
      </c>
      <c r="H43" s="5" t="s">
        <v>9</v>
      </c>
      <c r="I43" s="68"/>
      <c r="J43" s="67">
        <v>45864.0</v>
      </c>
      <c r="K43" s="6">
        <v>20000.0</v>
      </c>
      <c r="L43" s="5" t="s">
        <v>12</v>
      </c>
      <c r="M43" s="5" t="s">
        <v>18</v>
      </c>
      <c r="N43" s="68"/>
      <c r="O43" s="67">
        <v>45899.0</v>
      </c>
      <c r="P43" s="7"/>
      <c r="Q43" s="7"/>
      <c r="R43" s="7"/>
      <c r="S43" s="4"/>
      <c r="T43" s="5"/>
      <c r="U43" s="5"/>
      <c r="V43" s="7"/>
      <c r="W43" s="7"/>
      <c r="X43" s="5"/>
      <c r="Y43" s="5"/>
      <c r="Z43" s="5"/>
      <c r="AA43" s="8">
        <f t="shared" si="5"/>
        <v>23000</v>
      </c>
      <c r="AB43" s="9" t="str">
        <f t="shared" si="2"/>
        <v>Pending</v>
      </c>
    </row>
    <row r="44">
      <c r="A44" s="3" t="s">
        <v>274</v>
      </c>
      <c r="B44" s="4">
        <v>15000.0</v>
      </c>
      <c r="C44" s="4" t="s">
        <v>18</v>
      </c>
      <c r="D44" s="5" t="s">
        <v>12</v>
      </c>
      <c r="E44" s="67">
        <v>45829.0</v>
      </c>
      <c r="F44" s="6">
        <v>25000.0</v>
      </c>
      <c r="G44" s="5" t="s">
        <v>12</v>
      </c>
      <c r="H44" s="5" t="s">
        <v>18</v>
      </c>
      <c r="I44" s="68"/>
      <c r="J44" s="67">
        <v>45893.0</v>
      </c>
      <c r="K44" s="7"/>
      <c r="L44" s="7"/>
      <c r="M44" s="7"/>
      <c r="N44" s="4"/>
      <c r="O44" s="5"/>
      <c r="P44" s="7"/>
      <c r="Q44" s="7"/>
      <c r="R44" s="7"/>
      <c r="S44" s="4"/>
      <c r="T44" s="5"/>
      <c r="U44" s="5"/>
      <c r="V44" s="7"/>
      <c r="W44" s="7"/>
      <c r="X44" s="5"/>
      <c r="Y44" s="5"/>
      <c r="Z44" s="5"/>
      <c r="AA44" s="8">
        <f t="shared" si="5"/>
        <v>40000</v>
      </c>
      <c r="AB44" s="9" t="str">
        <f t="shared" si="2"/>
        <v>Pending</v>
      </c>
    </row>
    <row r="45">
      <c r="A45" s="3" t="s">
        <v>275</v>
      </c>
      <c r="B45" s="4">
        <v>15000.0</v>
      </c>
      <c r="C45" s="4" t="s">
        <v>18</v>
      </c>
      <c r="D45" s="5" t="s">
        <v>12</v>
      </c>
      <c r="E45" s="67">
        <v>45829.0</v>
      </c>
      <c r="F45" s="6"/>
      <c r="G45" s="5"/>
      <c r="H45" s="5"/>
      <c r="I45" s="4"/>
      <c r="J45" s="5"/>
      <c r="K45" s="7"/>
      <c r="L45" s="7"/>
      <c r="M45" s="7"/>
      <c r="N45" s="4"/>
      <c r="O45" s="5"/>
      <c r="P45" s="7"/>
      <c r="Q45" s="7"/>
      <c r="R45" s="7"/>
      <c r="S45" s="4"/>
      <c r="T45" s="5"/>
      <c r="U45" s="5"/>
      <c r="V45" s="7"/>
      <c r="W45" s="7"/>
      <c r="X45" s="5"/>
      <c r="Y45" s="5"/>
      <c r="Z45" s="5"/>
      <c r="AA45" s="8">
        <f t="shared" si="5"/>
        <v>65000</v>
      </c>
      <c r="AB45" s="9" t="str">
        <f t="shared" si="2"/>
        <v>Pending</v>
      </c>
    </row>
    <row r="46">
      <c r="A46" s="3" t="s">
        <v>276</v>
      </c>
      <c r="B46" s="4">
        <v>15000.0</v>
      </c>
      <c r="C46" s="4" t="s">
        <v>18</v>
      </c>
      <c r="D46" s="5" t="s">
        <v>12</v>
      </c>
      <c r="E46" s="67">
        <v>45844.0</v>
      </c>
      <c r="F46" s="6"/>
      <c r="G46" s="5"/>
      <c r="H46" s="5"/>
      <c r="I46" s="4"/>
      <c r="J46" s="5"/>
      <c r="K46" s="7"/>
      <c r="L46" s="7"/>
      <c r="M46" s="7"/>
      <c r="N46" s="4"/>
      <c r="O46" s="5"/>
      <c r="P46" s="7"/>
      <c r="Q46" s="7"/>
      <c r="R46" s="7"/>
      <c r="S46" s="4"/>
      <c r="T46" s="5"/>
      <c r="U46" s="5"/>
      <c r="V46" s="7"/>
      <c r="W46" s="7"/>
      <c r="X46" s="5"/>
      <c r="Y46" s="5"/>
      <c r="Z46" s="5"/>
      <c r="AA46" s="8">
        <f t="shared" si="5"/>
        <v>65000</v>
      </c>
      <c r="AB46" s="9" t="str">
        <f t="shared" si="2"/>
        <v>Pending</v>
      </c>
    </row>
    <row r="47">
      <c r="A47" s="10" t="s">
        <v>277</v>
      </c>
      <c r="B47" s="11">
        <v>15000.0</v>
      </c>
      <c r="C47" s="11" t="s">
        <v>9</v>
      </c>
      <c r="D47" s="12" t="s">
        <v>12</v>
      </c>
      <c r="E47" s="69">
        <v>45844.0</v>
      </c>
      <c r="F47" s="15">
        <v>15000.0</v>
      </c>
      <c r="G47" s="12" t="s">
        <v>12</v>
      </c>
      <c r="H47" s="12" t="s">
        <v>9</v>
      </c>
      <c r="I47" s="70"/>
      <c r="J47" s="69">
        <v>45865.0</v>
      </c>
      <c r="K47" s="15">
        <v>10000.0</v>
      </c>
      <c r="L47" s="12" t="s">
        <v>10</v>
      </c>
      <c r="M47" s="12" t="s">
        <v>9</v>
      </c>
      <c r="N47" s="11">
        <v>123.0</v>
      </c>
      <c r="O47" s="69">
        <v>45956.0</v>
      </c>
      <c r="P47" s="14"/>
      <c r="Q47" s="14"/>
      <c r="R47" s="14"/>
      <c r="S47" s="11"/>
      <c r="T47" s="12"/>
      <c r="U47" s="12"/>
      <c r="V47" s="14"/>
      <c r="W47" s="14"/>
      <c r="X47" s="12"/>
      <c r="Y47" s="12"/>
      <c r="Z47" s="12"/>
      <c r="AA47" s="16">
        <f t="shared" si="5"/>
        <v>40000</v>
      </c>
      <c r="AB47" s="17" t="str">
        <f t="shared" si="2"/>
        <v>Pending</v>
      </c>
      <c r="AC47" s="18"/>
      <c r="AD47" s="18"/>
      <c r="AE47" s="18"/>
      <c r="AF47" s="18"/>
      <c r="AG47" s="18"/>
      <c r="AH47" s="18"/>
      <c r="AI47" s="18"/>
    </row>
    <row r="48">
      <c r="A48" s="3" t="s">
        <v>278</v>
      </c>
      <c r="B48" s="4">
        <v>15000.0</v>
      </c>
      <c r="C48" s="4" t="s">
        <v>18</v>
      </c>
      <c r="D48" s="5" t="s">
        <v>12</v>
      </c>
      <c r="E48" s="67">
        <v>45844.0</v>
      </c>
      <c r="F48" s="6">
        <v>15000.0</v>
      </c>
      <c r="G48" s="5" t="s">
        <v>12</v>
      </c>
      <c r="H48" s="5" t="s">
        <v>18</v>
      </c>
      <c r="I48" s="68"/>
      <c r="J48" s="67">
        <v>45858.0</v>
      </c>
      <c r="K48" s="7"/>
      <c r="L48" s="7"/>
      <c r="M48" s="7"/>
      <c r="N48" s="4"/>
      <c r="O48" s="5"/>
      <c r="P48" s="7"/>
      <c r="Q48" s="7"/>
      <c r="R48" s="7"/>
      <c r="S48" s="4"/>
      <c r="T48" s="5"/>
      <c r="U48" s="5"/>
      <c r="V48" s="7"/>
      <c r="W48" s="7"/>
      <c r="X48" s="5"/>
      <c r="Y48" s="5"/>
      <c r="Z48" s="5"/>
      <c r="AA48" s="8">
        <f t="shared" si="5"/>
        <v>50000</v>
      </c>
      <c r="AB48" s="9" t="str">
        <f t="shared" si="2"/>
        <v>Pending</v>
      </c>
    </row>
    <row r="49">
      <c r="A49" s="73" t="s">
        <v>279</v>
      </c>
      <c r="B49" s="74">
        <v>15000.0</v>
      </c>
      <c r="C49" s="74" t="s">
        <v>18</v>
      </c>
      <c r="D49" s="75" t="s">
        <v>10</v>
      </c>
      <c r="E49" s="76">
        <v>45844.0</v>
      </c>
      <c r="F49" s="77">
        <v>15000.0</v>
      </c>
      <c r="G49" s="75" t="s">
        <v>10</v>
      </c>
      <c r="H49" s="75" t="s">
        <v>18</v>
      </c>
      <c r="I49" s="78"/>
      <c r="J49" s="76">
        <v>45844.0</v>
      </c>
      <c r="K49" s="79"/>
      <c r="L49" s="79"/>
      <c r="M49" s="79"/>
      <c r="N49" s="74"/>
      <c r="O49" s="75"/>
      <c r="P49" s="79"/>
      <c r="Q49" s="79"/>
      <c r="R49" s="79"/>
      <c r="S49" s="74"/>
      <c r="T49" s="75"/>
      <c r="U49" s="75"/>
      <c r="V49" s="79"/>
      <c r="W49" s="79"/>
      <c r="X49" s="75"/>
      <c r="Y49" s="75"/>
      <c r="Z49" s="75"/>
      <c r="AA49" s="80">
        <f t="shared" si="5"/>
        <v>50000</v>
      </c>
      <c r="AB49" s="81" t="str">
        <f t="shared" si="2"/>
        <v>Pending</v>
      </c>
      <c r="AC49" s="82"/>
      <c r="AD49" s="82"/>
      <c r="AE49" s="82"/>
      <c r="AF49" s="82"/>
      <c r="AG49" s="82"/>
      <c r="AH49" s="82"/>
      <c r="AI49" s="82"/>
    </row>
    <row r="50">
      <c r="A50" s="3" t="s">
        <v>280</v>
      </c>
      <c r="B50" s="4">
        <v>15000.0</v>
      </c>
      <c r="C50" s="4" t="s">
        <v>18</v>
      </c>
      <c r="D50" s="5" t="s">
        <v>12</v>
      </c>
      <c r="E50" s="67">
        <v>45865.0</v>
      </c>
      <c r="F50" s="6">
        <v>15000.0</v>
      </c>
      <c r="G50" s="5" t="s">
        <v>12</v>
      </c>
      <c r="H50" s="5" t="s">
        <v>18</v>
      </c>
      <c r="I50" s="4"/>
      <c r="J50" s="67">
        <v>45893.0</v>
      </c>
      <c r="K50" s="6">
        <v>15000.0</v>
      </c>
      <c r="L50" s="5" t="s">
        <v>12</v>
      </c>
      <c r="M50" s="5" t="s">
        <v>18</v>
      </c>
      <c r="N50" s="4">
        <v>143.0</v>
      </c>
      <c r="O50" s="67">
        <v>45977.0</v>
      </c>
      <c r="P50" s="7"/>
      <c r="Q50" s="7"/>
      <c r="R50" s="7"/>
      <c r="S50" s="4"/>
      <c r="T50" s="5"/>
      <c r="U50" s="5"/>
      <c r="V50" s="7"/>
      <c r="W50" s="7"/>
      <c r="X50" s="5"/>
      <c r="Y50" s="5"/>
      <c r="Z50" s="5"/>
      <c r="AA50" s="8">
        <f t="shared" si="5"/>
        <v>35000</v>
      </c>
      <c r="AB50" s="9" t="str">
        <f t="shared" si="2"/>
        <v>Pending</v>
      </c>
    </row>
    <row r="51">
      <c r="A51" s="3" t="s">
        <v>281</v>
      </c>
      <c r="B51" s="4">
        <v>15000.0</v>
      </c>
      <c r="C51" s="4" t="s">
        <v>18</v>
      </c>
      <c r="D51" s="5" t="s">
        <v>12</v>
      </c>
      <c r="E51" s="67">
        <v>45815.0</v>
      </c>
      <c r="F51" s="6">
        <v>15000.0</v>
      </c>
      <c r="G51" s="5" t="s">
        <v>10</v>
      </c>
      <c r="H51" s="5" t="s">
        <v>18</v>
      </c>
      <c r="I51" s="68"/>
      <c r="J51" s="67">
        <v>45858.0</v>
      </c>
      <c r="K51" s="7"/>
      <c r="L51" s="7"/>
      <c r="M51" s="7"/>
      <c r="N51" s="4"/>
      <c r="O51" s="5"/>
      <c r="P51" s="7"/>
      <c r="Q51" s="7"/>
      <c r="R51" s="7"/>
      <c r="S51" s="4"/>
      <c r="T51" s="5"/>
      <c r="U51" s="5"/>
      <c r="V51" s="7"/>
      <c r="W51" s="7"/>
      <c r="X51" s="5"/>
      <c r="Y51" s="5"/>
      <c r="Z51" s="5"/>
      <c r="AA51" s="8">
        <f t="shared" si="5"/>
        <v>50000</v>
      </c>
      <c r="AB51" s="9" t="str">
        <f t="shared" si="2"/>
        <v>Pending</v>
      </c>
    </row>
    <row r="52">
      <c r="A52" s="20" t="s">
        <v>282</v>
      </c>
      <c r="B52" s="21">
        <v>15000.0</v>
      </c>
      <c r="C52" s="21" t="s">
        <v>18</v>
      </c>
      <c r="D52" s="22" t="s">
        <v>10</v>
      </c>
      <c r="E52" s="71">
        <v>45836.0</v>
      </c>
      <c r="F52" s="23">
        <v>25000.0</v>
      </c>
      <c r="G52" s="22" t="s">
        <v>10</v>
      </c>
      <c r="H52" s="22" t="s">
        <v>9</v>
      </c>
      <c r="I52" s="72"/>
      <c r="J52" s="71">
        <v>45857.0</v>
      </c>
      <c r="K52" s="23">
        <v>20000.0</v>
      </c>
      <c r="L52" s="22" t="s">
        <v>10</v>
      </c>
      <c r="M52" s="22" t="s">
        <v>18</v>
      </c>
      <c r="N52" s="72"/>
      <c r="O52" s="71">
        <v>45892.0</v>
      </c>
      <c r="P52" s="23">
        <v>20000.0</v>
      </c>
      <c r="Q52" s="22" t="s">
        <v>12</v>
      </c>
      <c r="R52" s="22" t="s">
        <v>9</v>
      </c>
      <c r="S52" s="72"/>
      <c r="T52" s="71">
        <v>45934.0</v>
      </c>
      <c r="U52" s="71"/>
      <c r="V52" s="7"/>
      <c r="W52" s="7"/>
      <c r="X52" s="71"/>
      <c r="Y52" s="71"/>
      <c r="Z52" s="71"/>
      <c r="AA52" s="24">
        <f t="shared" si="5"/>
        <v>0</v>
      </c>
      <c r="AB52" s="25" t="str">
        <f t="shared" si="2"/>
        <v>Paid</v>
      </c>
      <c r="AC52" s="26"/>
      <c r="AD52" s="26"/>
      <c r="AE52" s="26"/>
      <c r="AF52" s="26"/>
      <c r="AG52" s="26"/>
      <c r="AH52" s="26"/>
      <c r="AI52" s="26"/>
    </row>
    <row r="53">
      <c r="A53" s="3" t="s">
        <v>283</v>
      </c>
      <c r="B53" s="4">
        <v>15000.0</v>
      </c>
      <c r="C53" s="4" t="s">
        <v>18</v>
      </c>
      <c r="D53" s="5" t="s">
        <v>12</v>
      </c>
      <c r="E53" s="67">
        <v>45850.0</v>
      </c>
      <c r="F53" s="6"/>
      <c r="G53" s="5"/>
      <c r="H53" s="5"/>
      <c r="I53" s="4"/>
      <c r="J53" s="5"/>
      <c r="K53" s="7"/>
      <c r="L53" s="7"/>
      <c r="M53" s="7"/>
      <c r="N53" s="4"/>
      <c r="O53" s="5"/>
      <c r="P53" s="7"/>
      <c r="Q53" s="7"/>
      <c r="R53" s="7"/>
      <c r="S53" s="4"/>
      <c r="T53" s="5"/>
      <c r="U53" s="5"/>
      <c r="V53" s="7"/>
      <c r="W53" s="7"/>
      <c r="X53" s="5"/>
      <c r="Y53" s="5"/>
      <c r="Z53" s="5"/>
      <c r="AA53" s="8">
        <f t="shared" si="5"/>
        <v>65000</v>
      </c>
      <c r="AB53" s="9" t="str">
        <f t="shared" si="2"/>
        <v>Pending</v>
      </c>
    </row>
    <row r="54">
      <c r="A54" s="3" t="s">
        <v>284</v>
      </c>
      <c r="B54" s="4">
        <v>15000.0</v>
      </c>
      <c r="C54" s="4" t="s">
        <v>18</v>
      </c>
      <c r="D54" s="5" t="s">
        <v>12</v>
      </c>
      <c r="E54" s="67">
        <v>45857.0</v>
      </c>
      <c r="F54" s="6">
        <v>15000.0</v>
      </c>
      <c r="G54" s="5" t="s">
        <v>12</v>
      </c>
      <c r="H54" s="5" t="s">
        <v>18</v>
      </c>
      <c r="I54" s="83"/>
      <c r="J54" s="67">
        <v>45892.0</v>
      </c>
      <c r="K54" s="6">
        <v>10000.0</v>
      </c>
      <c r="L54" s="5" t="s">
        <v>12</v>
      </c>
      <c r="M54" s="5" t="s">
        <v>9</v>
      </c>
      <c r="N54" s="4">
        <v>137.0</v>
      </c>
      <c r="O54" s="67">
        <v>45976.0</v>
      </c>
      <c r="P54" s="7"/>
      <c r="Q54" s="7"/>
      <c r="R54" s="7"/>
      <c r="S54" s="4"/>
      <c r="T54" s="5"/>
      <c r="U54" s="5"/>
      <c r="V54" s="7"/>
      <c r="W54" s="7"/>
      <c r="X54" s="5"/>
      <c r="Y54" s="5"/>
      <c r="Z54" s="5"/>
      <c r="AA54" s="8">
        <f t="shared" si="5"/>
        <v>40000</v>
      </c>
      <c r="AB54" s="9" t="str">
        <f t="shared" si="2"/>
        <v>Pending</v>
      </c>
    </row>
    <row r="55">
      <c r="A55" s="3" t="s">
        <v>285</v>
      </c>
      <c r="B55" s="4">
        <v>15000.0</v>
      </c>
      <c r="C55" s="4" t="s">
        <v>18</v>
      </c>
      <c r="D55" s="5" t="s">
        <v>12</v>
      </c>
      <c r="E55" s="67">
        <v>45864.0</v>
      </c>
      <c r="F55" s="6"/>
      <c r="G55" s="5"/>
      <c r="H55" s="5"/>
      <c r="I55" s="4"/>
      <c r="J55" s="5"/>
      <c r="K55" s="7"/>
      <c r="L55" s="7"/>
      <c r="M55" s="7"/>
      <c r="N55" s="4"/>
      <c r="O55" s="5"/>
      <c r="P55" s="7"/>
      <c r="Q55" s="7"/>
      <c r="R55" s="7"/>
      <c r="S55" s="4"/>
      <c r="T55" s="5"/>
      <c r="U55" s="5"/>
      <c r="V55" s="7"/>
      <c r="W55" s="7"/>
      <c r="X55" s="5"/>
      <c r="Y55" s="5"/>
      <c r="Z55" s="5"/>
      <c r="AA55" s="8">
        <f t="shared" si="5"/>
        <v>65000</v>
      </c>
      <c r="AB55" s="9" t="str">
        <f t="shared" si="2"/>
        <v>Pending</v>
      </c>
    </row>
    <row r="56">
      <c r="A56" s="3" t="s">
        <v>286</v>
      </c>
      <c r="B56" s="4">
        <v>15000.0</v>
      </c>
      <c r="C56" s="4" t="s">
        <v>18</v>
      </c>
      <c r="D56" s="5" t="s">
        <v>10</v>
      </c>
      <c r="E56" s="67">
        <v>45809.0</v>
      </c>
      <c r="F56" s="6"/>
      <c r="G56" s="5"/>
      <c r="H56" s="5"/>
      <c r="I56" s="4"/>
      <c r="J56" s="5"/>
      <c r="K56" s="7"/>
      <c r="L56" s="7"/>
      <c r="M56" s="7"/>
      <c r="N56" s="4"/>
      <c r="O56" s="5"/>
      <c r="P56" s="7"/>
      <c r="Q56" s="7"/>
      <c r="R56" s="7"/>
      <c r="S56" s="4"/>
      <c r="T56" s="5"/>
      <c r="U56" s="5"/>
      <c r="V56" s="7"/>
      <c r="W56" s="7"/>
      <c r="X56" s="5"/>
      <c r="Y56" s="5"/>
      <c r="Z56" s="5"/>
      <c r="AA56" s="8">
        <f t="shared" si="5"/>
        <v>65000</v>
      </c>
      <c r="AB56" s="9" t="str">
        <f t="shared" si="2"/>
        <v>Pending</v>
      </c>
    </row>
    <row r="57">
      <c r="A57" s="3" t="s">
        <v>287</v>
      </c>
      <c r="B57" s="4">
        <v>15000.0</v>
      </c>
      <c r="C57" s="4" t="s">
        <v>18</v>
      </c>
      <c r="D57" s="5" t="s">
        <v>12</v>
      </c>
      <c r="E57" s="67">
        <v>45816.0</v>
      </c>
      <c r="F57" s="6" t="s">
        <v>288</v>
      </c>
      <c r="G57" s="5"/>
      <c r="H57" s="5"/>
      <c r="I57" s="4"/>
      <c r="J57" s="5"/>
      <c r="K57" s="6">
        <v>20000.0</v>
      </c>
      <c r="L57" s="5" t="s">
        <v>12</v>
      </c>
      <c r="M57" s="5" t="s">
        <v>9</v>
      </c>
      <c r="N57" s="68"/>
      <c r="O57" s="67">
        <v>45844.0</v>
      </c>
      <c r="P57" s="7"/>
      <c r="Q57" s="7"/>
      <c r="R57" s="7"/>
      <c r="S57" s="4"/>
      <c r="T57" s="5"/>
      <c r="U57" s="5"/>
      <c r="V57" s="7"/>
      <c r="W57" s="7"/>
      <c r="X57" s="5"/>
      <c r="Y57" s="5"/>
      <c r="Z57" s="5"/>
      <c r="AA57" s="8">
        <f t="shared" si="5"/>
        <v>45000</v>
      </c>
      <c r="AB57" s="9" t="str">
        <f t="shared" si="2"/>
        <v>Pending</v>
      </c>
    </row>
    <row r="58">
      <c r="A58" s="3" t="s">
        <v>289</v>
      </c>
      <c r="B58" s="4">
        <v>15000.0</v>
      </c>
      <c r="C58" s="4" t="s">
        <v>18</v>
      </c>
      <c r="D58" s="5" t="s">
        <v>10</v>
      </c>
      <c r="E58" s="67">
        <v>45823.0</v>
      </c>
      <c r="F58" s="6"/>
      <c r="G58" s="5"/>
      <c r="H58" s="5"/>
      <c r="I58" s="4"/>
      <c r="J58" s="5"/>
      <c r="K58" s="7"/>
      <c r="L58" s="7"/>
      <c r="M58" s="7"/>
      <c r="N58" s="4"/>
      <c r="O58" s="5"/>
      <c r="P58" s="7"/>
      <c r="Q58" s="7"/>
      <c r="R58" s="7"/>
      <c r="S58" s="4"/>
      <c r="T58" s="5"/>
      <c r="U58" s="5"/>
      <c r="V58" s="7"/>
      <c r="W58" s="7"/>
      <c r="X58" s="5"/>
      <c r="Y58" s="5"/>
      <c r="Z58" s="5"/>
      <c r="AA58" s="8">
        <f t="shared" si="5"/>
        <v>65000</v>
      </c>
      <c r="AB58" s="9" t="str">
        <f t="shared" si="2"/>
        <v>Pending</v>
      </c>
    </row>
    <row r="59">
      <c r="A59" s="3" t="s">
        <v>290</v>
      </c>
      <c r="B59" s="4">
        <v>15000.0</v>
      </c>
      <c r="C59" s="4" t="s">
        <v>18</v>
      </c>
      <c r="D59" s="5" t="s">
        <v>10</v>
      </c>
      <c r="E59" s="67">
        <v>45830.0</v>
      </c>
      <c r="F59" s="6"/>
      <c r="G59" s="5"/>
      <c r="H59" s="5"/>
      <c r="I59" s="4"/>
      <c r="J59" s="5"/>
      <c r="K59" s="7"/>
      <c r="L59" s="7"/>
      <c r="M59" s="7"/>
      <c r="N59" s="4"/>
      <c r="O59" s="5"/>
      <c r="P59" s="7"/>
      <c r="Q59" s="7"/>
      <c r="R59" s="7"/>
      <c r="S59" s="4"/>
      <c r="T59" s="5"/>
      <c r="U59" s="5"/>
      <c r="V59" s="7"/>
      <c r="W59" s="7"/>
      <c r="X59" s="5"/>
      <c r="Y59" s="5"/>
      <c r="Z59" s="5"/>
      <c r="AA59" s="8">
        <f t="shared" si="5"/>
        <v>65000</v>
      </c>
      <c r="AB59" s="9" t="str">
        <f t="shared" si="2"/>
        <v>Pending</v>
      </c>
    </row>
    <row r="60">
      <c r="A60" s="3" t="s">
        <v>291</v>
      </c>
      <c r="B60" s="4">
        <v>15000.0</v>
      </c>
      <c r="C60" s="4" t="s">
        <v>18</v>
      </c>
      <c r="D60" s="5" t="s">
        <v>10</v>
      </c>
      <c r="E60" s="67">
        <v>45830.0</v>
      </c>
      <c r="F60" s="6"/>
      <c r="G60" s="5"/>
      <c r="H60" s="5"/>
      <c r="I60" s="4"/>
      <c r="J60" s="5"/>
      <c r="K60" s="7"/>
      <c r="L60" s="7"/>
      <c r="M60" s="7"/>
      <c r="N60" s="4"/>
      <c r="O60" s="5"/>
      <c r="P60" s="7"/>
      <c r="Q60" s="7"/>
      <c r="R60" s="7"/>
      <c r="S60" s="4"/>
      <c r="T60" s="5"/>
      <c r="U60" s="5"/>
      <c r="V60" s="7"/>
      <c r="W60" s="7"/>
      <c r="X60" s="5"/>
      <c r="Y60" s="5"/>
      <c r="Z60" s="5"/>
      <c r="AA60" s="8">
        <f t="shared" si="5"/>
        <v>65000</v>
      </c>
      <c r="AB60" s="9" t="str">
        <f t="shared" si="2"/>
        <v>Pending</v>
      </c>
    </row>
    <row r="61">
      <c r="A61" s="20" t="s">
        <v>292</v>
      </c>
      <c r="B61" s="21">
        <v>15000.0</v>
      </c>
      <c r="C61" s="21" t="s">
        <v>18</v>
      </c>
      <c r="D61" s="22" t="s">
        <v>12</v>
      </c>
      <c r="E61" s="71">
        <v>45830.0</v>
      </c>
      <c r="F61" s="23">
        <v>25000.0</v>
      </c>
      <c r="G61" s="22" t="s">
        <v>12</v>
      </c>
      <c r="H61" s="22" t="s">
        <v>18</v>
      </c>
      <c r="I61" s="21"/>
      <c r="J61" s="22"/>
      <c r="K61" s="29"/>
      <c r="L61" s="29"/>
      <c r="M61" s="29"/>
      <c r="N61" s="21"/>
      <c r="O61" s="22"/>
      <c r="P61" s="23">
        <v>40000.0</v>
      </c>
      <c r="Q61" s="22" t="s">
        <v>12</v>
      </c>
      <c r="R61" s="22" t="s">
        <v>18</v>
      </c>
      <c r="S61" s="21"/>
      <c r="T61" s="71">
        <v>46039.0</v>
      </c>
      <c r="U61" s="71"/>
      <c r="V61" s="7"/>
      <c r="W61" s="7"/>
      <c r="X61" s="71"/>
      <c r="Y61" s="71"/>
      <c r="Z61" s="71"/>
      <c r="AA61" s="24">
        <f t="shared" si="5"/>
        <v>0</v>
      </c>
      <c r="AB61" s="25" t="str">
        <f t="shared" si="2"/>
        <v>Paid</v>
      </c>
      <c r="AC61" s="84" t="s">
        <v>293</v>
      </c>
      <c r="AD61" s="26"/>
      <c r="AE61" s="26"/>
      <c r="AF61" s="26"/>
      <c r="AG61" s="26"/>
      <c r="AH61" s="26"/>
      <c r="AI61" s="26"/>
    </row>
    <row r="62">
      <c r="A62" s="3" t="s">
        <v>294</v>
      </c>
      <c r="B62" s="4">
        <v>15000.0</v>
      </c>
      <c r="C62" s="4" t="s">
        <v>18</v>
      </c>
      <c r="D62" s="5" t="s">
        <v>12</v>
      </c>
      <c r="E62" s="67">
        <v>45830.0</v>
      </c>
      <c r="F62" s="6">
        <v>15000.0</v>
      </c>
      <c r="G62" s="5" t="s">
        <v>12</v>
      </c>
      <c r="H62" s="5" t="s">
        <v>18</v>
      </c>
      <c r="I62" s="68"/>
      <c r="J62" s="67">
        <v>45893.0</v>
      </c>
      <c r="K62" s="7"/>
      <c r="L62" s="7"/>
      <c r="M62" s="7"/>
      <c r="N62" s="4"/>
      <c r="O62" s="5"/>
      <c r="P62" s="7"/>
      <c r="Q62" s="7"/>
      <c r="R62" s="7"/>
      <c r="S62" s="4"/>
      <c r="T62" s="5"/>
      <c r="U62" s="5"/>
      <c r="V62" s="7"/>
      <c r="W62" s="7"/>
      <c r="X62" s="5"/>
      <c r="Y62" s="5"/>
      <c r="Z62" s="5"/>
      <c r="AA62" s="8">
        <f t="shared" si="5"/>
        <v>50000</v>
      </c>
      <c r="AB62" s="9" t="str">
        <f t="shared" si="2"/>
        <v>Pending</v>
      </c>
    </row>
    <row r="63">
      <c r="A63" s="10" t="s">
        <v>295</v>
      </c>
      <c r="B63" s="11">
        <v>15000.0</v>
      </c>
      <c r="C63" s="11" t="s">
        <v>18</v>
      </c>
      <c r="D63" s="12" t="s">
        <v>12</v>
      </c>
      <c r="E63" s="69">
        <v>45830.0</v>
      </c>
      <c r="F63" s="85">
        <v>15000.0</v>
      </c>
      <c r="G63" s="86" t="s">
        <v>12</v>
      </c>
      <c r="H63" s="86" t="s">
        <v>9</v>
      </c>
      <c r="I63" s="70"/>
      <c r="J63" s="87">
        <v>45879.0</v>
      </c>
      <c r="K63" s="15">
        <v>15000.0</v>
      </c>
      <c r="L63" s="12" t="s">
        <v>12</v>
      </c>
      <c r="M63" s="12" t="s">
        <v>9</v>
      </c>
      <c r="N63" s="11" t="s">
        <v>296</v>
      </c>
      <c r="O63" s="69">
        <v>45949.0</v>
      </c>
      <c r="P63" s="14"/>
      <c r="Q63" s="14"/>
      <c r="R63" s="14"/>
      <c r="S63" s="11"/>
      <c r="T63" s="12"/>
      <c r="U63" s="12"/>
      <c r="V63" s="14"/>
      <c r="W63" s="14"/>
      <c r="X63" s="12"/>
      <c r="Y63" s="12"/>
      <c r="Z63" s="12"/>
      <c r="AA63" s="16">
        <f t="shared" si="5"/>
        <v>35000</v>
      </c>
      <c r="AB63" s="17" t="str">
        <f t="shared" si="2"/>
        <v>Pending</v>
      </c>
      <c r="AC63" s="18"/>
      <c r="AD63" s="18"/>
      <c r="AE63" s="18"/>
      <c r="AF63" s="18"/>
      <c r="AG63" s="18"/>
      <c r="AH63" s="18"/>
      <c r="AI63" s="18"/>
    </row>
    <row r="64">
      <c r="A64" s="3" t="s">
        <v>297</v>
      </c>
      <c r="B64" s="4">
        <v>15000.0</v>
      </c>
      <c r="C64" s="4" t="s">
        <v>9</v>
      </c>
      <c r="D64" s="5" t="s">
        <v>12</v>
      </c>
      <c r="E64" s="67">
        <v>45830.0</v>
      </c>
      <c r="F64" s="88">
        <v>15000.0</v>
      </c>
      <c r="G64" s="5" t="s">
        <v>12</v>
      </c>
      <c r="H64" s="5" t="s">
        <v>18</v>
      </c>
      <c r="I64" s="68"/>
      <c r="J64" s="67">
        <v>45893.0</v>
      </c>
      <c r="K64" s="7"/>
      <c r="L64" s="7"/>
      <c r="M64" s="7"/>
      <c r="N64" s="4"/>
      <c r="O64" s="5"/>
      <c r="P64" s="7"/>
      <c r="Q64" s="7"/>
      <c r="R64" s="7"/>
      <c r="S64" s="4"/>
      <c r="T64" s="5"/>
      <c r="U64" s="5"/>
      <c r="V64" s="7"/>
      <c r="W64" s="7"/>
      <c r="X64" s="5"/>
      <c r="Y64" s="5"/>
      <c r="Z64" s="5"/>
      <c r="AA64" s="8">
        <f t="shared" si="5"/>
        <v>50000</v>
      </c>
      <c r="AB64" s="9" t="str">
        <f t="shared" si="2"/>
        <v>Pending</v>
      </c>
    </row>
    <row r="65">
      <c r="A65" s="3" t="s">
        <v>298</v>
      </c>
      <c r="B65" s="4">
        <v>15000.0</v>
      </c>
      <c r="C65" s="4" t="s">
        <v>18</v>
      </c>
      <c r="D65" s="5" t="s">
        <v>12</v>
      </c>
      <c r="E65" s="67">
        <v>45830.0</v>
      </c>
      <c r="F65" s="6">
        <v>10000.0</v>
      </c>
      <c r="G65" s="5" t="s">
        <v>12</v>
      </c>
      <c r="H65" s="5" t="s">
        <v>18</v>
      </c>
      <c r="I65" s="68"/>
      <c r="J65" s="67">
        <v>45899.0</v>
      </c>
      <c r="K65" s="7"/>
      <c r="L65" s="7"/>
      <c r="M65" s="7"/>
      <c r="N65" s="4"/>
      <c r="O65" s="5"/>
      <c r="P65" s="7"/>
      <c r="Q65" s="7"/>
      <c r="R65" s="7"/>
      <c r="S65" s="4"/>
      <c r="T65" s="5"/>
      <c r="U65" s="5"/>
      <c r="V65" s="7"/>
      <c r="W65" s="7"/>
      <c r="X65" s="5"/>
      <c r="Y65" s="5"/>
      <c r="Z65" s="5"/>
      <c r="AA65" s="8">
        <f t="shared" si="5"/>
        <v>55000</v>
      </c>
      <c r="AB65" s="9" t="str">
        <f t="shared" si="2"/>
        <v>Pending</v>
      </c>
    </row>
    <row r="66">
      <c r="A66" s="3" t="s">
        <v>299</v>
      </c>
      <c r="B66" s="4">
        <v>15000.0</v>
      </c>
      <c r="C66" s="4" t="s">
        <v>9</v>
      </c>
      <c r="D66" s="5" t="s">
        <v>12</v>
      </c>
      <c r="E66" s="67">
        <v>45830.0</v>
      </c>
      <c r="F66" s="88">
        <v>15000.0</v>
      </c>
      <c r="G66" s="5" t="s">
        <v>12</v>
      </c>
      <c r="H66" s="5" t="s">
        <v>18</v>
      </c>
      <c r="I66" s="68"/>
      <c r="J66" s="67">
        <v>45893.0</v>
      </c>
      <c r="K66" s="5">
        <v>5000.0</v>
      </c>
      <c r="L66" s="5" t="s">
        <v>12</v>
      </c>
      <c r="M66" s="5" t="s">
        <v>18</v>
      </c>
      <c r="N66" s="4"/>
      <c r="O66" s="67">
        <v>45900.0</v>
      </c>
      <c r="P66" s="5"/>
      <c r="Q66" s="5" t="s">
        <v>18</v>
      </c>
      <c r="R66" s="5" t="s">
        <v>18</v>
      </c>
      <c r="S66" s="4"/>
      <c r="T66" s="5"/>
      <c r="U66" s="5"/>
      <c r="V66" s="7"/>
      <c r="W66" s="7"/>
      <c r="X66" s="5"/>
      <c r="Y66" s="5"/>
      <c r="Z66" s="5"/>
      <c r="AA66" s="8">
        <f t="shared" si="5"/>
        <v>45000</v>
      </c>
      <c r="AB66" s="9" t="str">
        <f t="shared" si="2"/>
        <v>Pending</v>
      </c>
    </row>
    <row r="67">
      <c r="A67" s="3" t="s">
        <v>300</v>
      </c>
      <c r="B67" s="4">
        <v>15000.0</v>
      </c>
      <c r="C67" s="4" t="s">
        <v>18</v>
      </c>
      <c r="D67" s="5" t="s">
        <v>12</v>
      </c>
      <c r="E67" s="67">
        <v>45830.0</v>
      </c>
      <c r="F67" s="6">
        <v>15000.0</v>
      </c>
      <c r="G67" s="5" t="s">
        <v>12</v>
      </c>
      <c r="H67" s="5" t="s">
        <v>9</v>
      </c>
      <c r="I67" s="68"/>
      <c r="J67" s="67">
        <v>45879.0</v>
      </c>
      <c r="K67" s="7"/>
      <c r="L67" s="7"/>
      <c r="M67" s="7"/>
      <c r="N67" s="4"/>
      <c r="O67" s="5"/>
      <c r="P67" s="7"/>
      <c r="Q67" s="7"/>
      <c r="R67" s="7"/>
      <c r="S67" s="4"/>
      <c r="T67" s="5"/>
      <c r="U67" s="5"/>
      <c r="V67" s="7"/>
      <c r="W67" s="7"/>
      <c r="X67" s="5"/>
      <c r="Y67" s="5"/>
      <c r="Z67" s="5"/>
      <c r="AA67" s="8">
        <f t="shared" si="5"/>
        <v>50000</v>
      </c>
      <c r="AB67" s="9" t="str">
        <f t="shared" si="2"/>
        <v>Pending</v>
      </c>
    </row>
    <row r="68">
      <c r="A68" s="3" t="s">
        <v>301</v>
      </c>
      <c r="B68" s="4">
        <v>15000.0</v>
      </c>
      <c r="C68" s="4" t="s">
        <v>18</v>
      </c>
      <c r="D68" s="5" t="s">
        <v>12</v>
      </c>
      <c r="E68" s="67">
        <v>45830.0</v>
      </c>
      <c r="F68" s="6">
        <v>15000.0</v>
      </c>
      <c r="G68" s="5" t="s">
        <v>12</v>
      </c>
      <c r="H68" s="5" t="s">
        <v>9</v>
      </c>
      <c r="I68" s="68"/>
      <c r="J68" s="67">
        <v>45879.0</v>
      </c>
      <c r="K68" s="6">
        <v>15000.0</v>
      </c>
      <c r="L68" s="5" t="s">
        <v>12</v>
      </c>
      <c r="M68" s="5" t="s">
        <v>18</v>
      </c>
      <c r="N68" s="68"/>
      <c r="O68" s="67">
        <v>45900.0</v>
      </c>
      <c r="P68" s="7"/>
      <c r="Q68" s="7"/>
      <c r="R68" s="7"/>
      <c r="S68" s="4"/>
      <c r="T68" s="5"/>
      <c r="U68" s="5"/>
      <c r="V68" s="7"/>
      <c r="W68" s="7"/>
      <c r="X68" s="5"/>
      <c r="Y68" s="5"/>
      <c r="Z68" s="5"/>
      <c r="AA68" s="8">
        <f t="shared" si="5"/>
        <v>35000</v>
      </c>
      <c r="AB68" s="9" t="str">
        <f t="shared" si="2"/>
        <v>Pending</v>
      </c>
    </row>
    <row r="69">
      <c r="A69" s="3" t="s">
        <v>302</v>
      </c>
      <c r="B69" s="4">
        <v>15000.0</v>
      </c>
      <c r="C69" s="4" t="s">
        <v>18</v>
      </c>
      <c r="D69" s="5" t="s">
        <v>12</v>
      </c>
      <c r="E69" s="67">
        <v>45830.0</v>
      </c>
      <c r="F69" s="6"/>
      <c r="G69" s="5"/>
      <c r="H69" s="5"/>
      <c r="I69" s="4"/>
      <c r="J69" s="5"/>
      <c r="K69" s="7"/>
      <c r="L69" s="7"/>
      <c r="M69" s="7"/>
      <c r="N69" s="4"/>
      <c r="O69" s="5"/>
      <c r="P69" s="7"/>
      <c r="Q69" s="7"/>
      <c r="R69" s="7"/>
      <c r="S69" s="4"/>
      <c r="T69" s="5"/>
      <c r="U69" s="5"/>
      <c r="V69" s="7"/>
      <c r="W69" s="7"/>
      <c r="X69" s="5"/>
      <c r="Y69" s="5"/>
      <c r="Z69" s="5"/>
      <c r="AA69" s="8">
        <f t="shared" si="5"/>
        <v>65000</v>
      </c>
      <c r="AB69" s="9" t="str">
        <f t="shared" si="2"/>
        <v>Pending</v>
      </c>
    </row>
    <row r="70">
      <c r="A70" s="3" t="s">
        <v>303</v>
      </c>
      <c r="B70" s="4">
        <v>15000.0</v>
      </c>
      <c r="C70" s="4" t="s">
        <v>18</v>
      </c>
      <c r="D70" s="5" t="s">
        <v>12</v>
      </c>
      <c r="E70" s="67">
        <v>45830.0</v>
      </c>
      <c r="F70" s="6"/>
      <c r="G70" s="5"/>
      <c r="H70" s="5"/>
      <c r="I70" s="4"/>
      <c r="J70" s="5"/>
      <c r="K70" s="7"/>
      <c r="L70" s="7"/>
      <c r="M70" s="7"/>
      <c r="N70" s="4"/>
      <c r="O70" s="5"/>
      <c r="P70" s="7"/>
      <c r="Q70" s="7"/>
      <c r="R70" s="7"/>
      <c r="S70" s="4"/>
      <c r="T70" s="5"/>
      <c r="U70" s="5"/>
      <c r="V70" s="7"/>
      <c r="W70" s="7"/>
      <c r="X70" s="5"/>
      <c r="Y70" s="5"/>
      <c r="Z70" s="5"/>
      <c r="AA70" s="8">
        <f t="shared" si="5"/>
        <v>65000</v>
      </c>
      <c r="AB70" s="9" t="str">
        <f t="shared" si="2"/>
        <v>Pending</v>
      </c>
    </row>
    <row r="71">
      <c r="A71" s="3" t="s">
        <v>304</v>
      </c>
      <c r="B71" s="4">
        <v>15000.0</v>
      </c>
      <c r="C71" s="4" t="s">
        <v>9</v>
      </c>
      <c r="D71" s="5" t="s">
        <v>12</v>
      </c>
      <c r="E71" s="67">
        <v>45851.0</v>
      </c>
      <c r="F71" s="6">
        <v>20000.0</v>
      </c>
      <c r="G71" s="5" t="s">
        <v>12</v>
      </c>
      <c r="H71" s="5" t="s">
        <v>18</v>
      </c>
      <c r="I71" s="68"/>
      <c r="J71" s="67">
        <v>45865.0</v>
      </c>
      <c r="K71" s="7"/>
      <c r="L71" s="7"/>
      <c r="M71" s="7"/>
      <c r="N71" s="4"/>
      <c r="O71" s="5"/>
      <c r="P71" s="7"/>
      <c r="Q71" s="7"/>
      <c r="R71" s="7"/>
      <c r="S71" s="4"/>
      <c r="T71" s="5"/>
      <c r="U71" s="5"/>
      <c r="V71" s="7"/>
      <c r="W71" s="7"/>
      <c r="X71" s="5"/>
      <c r="Y71" s="5"/>
      <c r="Z71" s="5"/>
      <c r="AA71" s="8">
        <f t="shared" si="5"/>
        <v>45000</v>
      </c>
      <c r="AB71" s="9" t="str">
        <f t="shared" si="2"/>
        <v>Pending</v>
      </c>
    </row>
    <row r="72">
      <c r="A72" s="20" t="s">
        <v>305</v>
      </c>
      <c r="B72" s="21">
        <v>15000.0</v>
      </c>
      <c r="C72" s="21" t="s">
        <v>18</v>
      </c>
      <c r="D72" s="22" t="s">
        <v>12</v>
      </c>
      <c r="E72" s="71">
        <v>45851.0</v>
      </c>
      <c r="F72" s="23">
        <v>50000.0</v>
      </c>
      <c r="G72" s="22" t="s">
        <v>10</v>
      </c>
      <c r="H72" s="22" t="s">
        <v>18</v>
      </c>
      <c r="I72" s="21"/>
      <c r="J72" s="71">
        <v>46004.0</v>
      </c>
      <c r="K72" s="29"/>
      <c r="L72" s="29"/>
      <c r="M72" s="29"/>
      <c r="N72" s="21"/>
      <c r="O72" s="22"/>
      <c r="P72" s="23">
        <v>15000.0</v>
      </c>
      <c r="Q72" s="22" t="s">
        <v>10</v>
      </c>
      <c r="R72" s="22" t="s">
        <v>18</v>
      </c>
      <c r="S72" s="21"/>
      <c r="T72" s="71">
        <v>46018.0</v>
      </c>
      <c r="U72" s="71"/>
      <c r="V72" s="7"/>
      <c r="W72" s="7"/>
      <c r="X72" s="71"/>
      <c r="Y72" s="71"/>
      <c r="Z72" s="71"/>
      <c r="AA72" s="28">
        <v>0.0</v>
      </c>
      <c r="AB72" s="25" t="str">
        <f t="shared" si="2"/>
        <v>Paid</v>
      </c>
      <c r="AC72" s="26"/>
      <c r="AD72" s="26"/>
      <c r="AE72" s="26"/>
      <c r="AF72" s="26"/>
      <c r="AG72" s="26"/>
      <c r="AH72" s="26"/>
      <c r="AI72" s="26"/>
    </row>
    <row r="73">
      <c r="A73" s="3" t="s">
        <v>306</v>
      </c>
      <c r="B73" s="4">
        <v>15000.0</v>
      </c>
      <c r="C73" s="4" t="s">
        <v>18</v>
      </c>
      <c r="D73" s="5" t="s">
        <v>10</v>
      </c>
      <c r="E73" s="67">
        <v>45851.0</v>
      </c>
      <c r="F73" s="6"/>
      <c r="G73" s="5"/>
      <c r="H73" s="5"/>
      <c r="I73" s="4"/>
      <c r="J73" s="5"/>
      <c r="K73" s="7"/>
      <c r="L73" s="7"/>
      <c r="M73" s="7"/>
      <c r="N73" s="4"/>
      <c r="O73" s="5"/>
      <c r="P73" s="7"/>
      <c r="Q73" s="7"/>
      <c r="R73" s="7"/>
      <c r="S73" s="4"/>
      <c r="T73" s="5"/>
      <c r="U73" s="5"/>
      <c r="V73" s="7"/>
      <c r="W73" s="7"/>
      <c r="X73" s="5"/>
      <c r="Y73" s="5"/>
      <c r="Z73" s="5"/>
      <c r="AA73" s="8">
        <f t="shared" ref="AA73:AA76" si="6">65000 - SUM(F73, K73, P73)</f>
        <v>65000</v>
      </c>
      <c r="AB73" s="9" t="str">
        <f t="shared" si="2"/>
        <v>Pending</v>
      </c>
    </row>
    <row r="74">
      <c r="A74" s="20" t="s">
        <v>307</v>
      </c>
      <c r="B74" s="21">
        <v>15000.0</v>
      </c>
      <c r="C74" s="21" t="s">
        <v>9</v>
      </c>
      <c r="D74" s="22" t="s">
        <v>12</v>
      </c>
      <c r="E74" s="71">
        <v>45858.0</v>
      </c>
      <c r="F74" s="23">
        <v>15000.0</v>
      </c>
      <c r="G74" s="22" t="s">
        <v>12</v>
      </c>
      <c r="H74" s="22" t="s">
        <v>9</v>
      </c>
      <c r="I74" s="72"/>
      <c r="J74" s="71">
        <v>45865.0</v>
      </c>
      <c r="K74" s="23">
        <v>10000.0</v>
      </c>
      <c r="L74" s="22" t="s">
        <v>12</v>
      </c>
      <c r="M74" s="22" t="s">
        <v>18</v>
      </c>
      <c r="N74" s="72"/>
      <c r="O74" s="71">
        <v>45900.0</v>
      </c>
      <c r="P74" s="23">
        <v>40000.0</v>
      </c>
      <c r="Q74" s="22" t="s">
        <v>12</v>
      </c>
      <c r="R74" s="22" t="s">
        <v>18</v>
      </c>
      <c r="S74" s="21"/>
      <c r="T74" s="71">
        <v>45935.0</v>
      </c>
      <c r="U74" s="71"/>
      <c r="V74" s="29"/>
      <c r="W74" s="29"/>
      <c r="X74" s="71"/>
      <c r="Y74" s="71"/>
      <c r="Z74" s="71"/>
      <c r="AA74" s="24">
        <f t="shared" si="6"/>
        <v>0</v>
      </c>
      <c r="AB74" s="25" t="str">
        <f t="shared" si="2"/>
        <v>Paid</v>
      </c>
      <c r="AC74" s="26"/>
      <c r="AD74" s="26"/>
      <c r="AE74" s="26"/>
      <c r="AF74" s="26"/>
      <c r="AG74" s="26"/>
      <c r="AH74" s="26"/>
      <c r="AI74" s="26"/>
    </row>
    <row r="75">
      <c r="A75" s="3" t="s">
        <v>308</v>
      </c>
      <c r="B75" s="4">
        <v>15000.0</v>
      </c>
      <c r="C75" s="4" t="s">
        <v>18</v>
      </c>
      <c r="D75" s="5" t="s">
        <v>10</v>
      </c>
      <c r="E75" s="67">
        <v>45879.0</v>
      </c>
      <c r="F75" s="6"/>
      <c r="G75" s="5"/>
      <c r="H75" s="5"/>
      <c r="I75" s="4"/>
      <c r="J75" s="5"/>
      <c r="K75" s="7"/>
      <c r="L75" s="7"/>
      <c r="M75" s="7"/>
      <c r="N75" s="4"/>
      <c r="O75" s="5"/>
      <c r="P75" s="7"/>
      <c r="Q75" s="7"/>
      <c r="R75" s="7"/>
      <c r="S75" s="4"/>
      <c r="T75" s="5"/>
      <c r="U75" s="5"/>
      <c r="V75" s="7"/>
      <c r="W75" s="7"/>
      <c r="X75" s="5"/>
      <c r="Y75" s="5"/>
      <c r="Z75" s="5"/>
      <c r="AA75" s="8">
        <f t="shared" si="6"/>
        <v>65000</v>
      </c>
      <c r="AB75" s="9" t="str">
        <f t="shared" si="2"/>
        <v>Pending</v>
      </c>
    </row>
    <row r="76">
      <c r="A76" s="10" t="s">
        <v>309</v>
      </c>
      <c r="B76" s="11">
        <v>15000.0</v>
      </c>
      <c r="C76" s="11" t="s">
        <v>18</v>
      </c>
      <c r="D76" s="12" t="s">
        <v>10</v>
      </c>
      <c r="E76" s="69">
        <v>45879.0</v>
      </c>
      <c r="F76" s="15">
        <v>15000.0</v>
      </c>
      <c r="G76" s="12" t="s">
        <v>12</v>
      </c>
      <c r="H76" s="12" t="s">
        <v>18</v>
      </c>
      <c r="I76" s="70"/>
      <c r="J76" s="69">
        <v>45900.0</v>
      </c>
      <c r="K76" s="14"/>
      <c r="L76" s="14"/>
      <c r="M76" s="14"/>
      <c r="N76" s="11"/>
      <c r="O76" s="12"/>
      <c r="P76" s="14"/>
      <c r="Q76" s="14"/>
      <c r="R76" s="14"/>
      <c r="S76" s="11"/>
      <c r="T76" s="12"/>
      <c r="U76" s="15">
        <v>50000.0</v>
      </c>
      <c r="V76" s="14"/>
      <c r="W76" s="14"/>
      <c r="X76" s="12"/>
      <c r="Y76" s="12"/>
      <c r="Z76" s="12"/>
      <c r="AA76" s="16">
        <f t="shared" si="6"/>
        <v>50000</v>
      </c>
      <c r="AB76" s="17" t="str">
        <f t="shared" si="2"/>
        <v>Pending</v>
      </c>
      <c r="AC76" s="18"/>
      <c r="AD76" s="18"/>
      <c r="AE76" s="18"/>
      <c r="AF76" s="18"/>
      <c r="AG76" s="18"/>
      <c r="AH76" s="18"/>
      <c r="AI76" s="18"/>
    </row>
    <row r="77">
      <c r="A77" s="10" t="s">
        <v>310</v>
      </c>
      <c r="B77" s="11" t="s">
        <v>249</v>
      </c>
      <c r="C77" s="11" t="s">
        <v>18</v>
      </c>
      <c r="D77" s="12" t="s">
        <v>18</v>
      </c>
      <c r="E77" s="69">
        <v>45871.0</v>
      </c>
      <c r="F77" s="23">
        <v>20000.0</v>
      </c>
      <c r="G77" s="12" t="s">
        <v>10</v>
      </c>
      <c r="H77" s="12" t="s">
        <v>9</v>
      </c>
      <c r="I77" s="70"/>
      <c r="J77" s="69">
        <v>45871.0</v>
      </c>
      <c r="K77" s="15">
        <v>10000.0</v>
      </c>
      <c r="L77" s="12" t="s">
        <v>10</v>
      </c>
      <c r="M77" s="12" t="s">
        <v>18</v>
      </c>
      <c r="N77" s="11">
        <v>125.0</v>
      </c>
      <c r="O77" s="69">
        <v>45962.0</v>
      </c>
      <c r="P77" s="14"/>
      <c r="Q77" s="14"/>
      <c r="R77" s="14"/>
      <c r="S77" s="11"/>
      <c r="T77" s="12"/>
      <c r="U77" s="15">
        <v>35000.0</v>
      </c>
      <c r="V77" s="12" t="s">
        <v>10</v>
      </c>
      <c r="W77" s="12" t="s">
        <v>18</v>
      </c>
      <c r="X77" s="12"/>
      <c r="Y77" s="69">
        <v>46047.0</v>
      </c>
      <c r="Z77" s="12"/>
      <c r="AA77" s="16">
        <f>65000 - SUM(F77, K77, P77,U77)</f>
        <v>0</v>
      </c>
      <c r="AB77" s="17" t="str">
        <f t="shared" si="2"/>
        <v>Paid</v>
      </c>
      <c r="AC77" s="18"/>
      <c r="AD77" s="18"/>
      <c r="AE77" s="18"/>
      <c r="AF77" s="18"/>
      <c r="AG77" s="18"/>
      <c r="AH77" s="18"/>
      <c r="AI77" s="18"/>
    </row>
    <row r="78">
      <c r="A78" s="3" t="s">
        <v>311</v>
      </c>
      <c r="B78" s="4">
        <v>15000.0</v>
      </c>
      <c r="C78" s="4" t="s">
        <v>9</v>
      </c>
      <c r="D78" s="5" t="s">
        <v>12</v>
      </c>
      <c r="E78" s="67">
        <v>45871.0</v>
      </c>
      <c r="F78" s="6"/>
      <c r="G78" s="5"/>
      <c r="H78" s="5"/>
      <c r="I78" s="4"/>
      <c r="J78" s="5"/>
      <c r="K78" s="7"/>
      <c r="L78" s="7"/>
      <c r="M78" s="7"/>
      <c r="N78" s="4"/>
      <c r="O78" s="5"/>
      <c r="P78" s="7"/>
      <c r="Q78" s="7"/>
      <c r="R78" s="7"/>
      <c r="S78" s="4"/>
      <c r="T78" s="5"/>
      <c r="U78" s="5"/>
      <c r="V78" s="7"/>
      <c r="W78" s="7"/>
      <c r="X78" s="5"/>
      <c r="Y78" s="5"/>
      <c r="Z78" s="5"/>
      <c r="AA78" s="8">
        <f t="shared" ref="AA78:AA80" si="7">65000 - SUM(F78, K78, P78)</f>
        <v>65000</v>
      </c>
      <c r="AB78" s="9" t="str">
        <f t="shared" si="2"/>
        <v>Pending</v>
      </c>
    </row>
    <row r="79">
      <c r="A79" s="3" t="s">
        <v>312</v>
      </c>
      <c r="B79" s="4">
        <v>15000.0</v>
      </c>
      <c r="C79" s="4" t="s">
        <v>9</v>
      </c>
      <c r="D79" s="5" t="s">
        <v>12</v>
      </c>
      <c r="E79" s="67">
        <v>45816.0</v>
      </c>
      <c r="F79" s="6">
        <v>20000.0</v>
      </c>
      <c r="G79" s="5" t="s">
        <v>12</v>
      </c>
      <c r="H79" s="5" t="s">
        <v>18</v>
      </c>
      <c r="I79" s="68"/>
      <c r="J79" s="67">
        <v>45885.0</v>
      </c>
      <c r="K79" s="7"/>
      <c r="L79" s="7"/>
      <c r="M79" s="7"/>
      <c r="N79" s="4"/>
      <c r="O79" s="5"/>
      <c r="P79" s="7"/>
      <c r="Q79" s="7"/>
      <c r="R79" s="7"/>
      <c r="S79" s="4"/>
      <c r="T79" s="5"/>
      <c r="U79" s="5"/>
      <c r="V79" s="7"/>
      <c r="W79" s="7"/>
      <c r="X79" s="5"/>
      <c r="Y79" s="5"/>
      <c r="Z79" s="5"/>
      <c r="AA79" s="8">
        <f t="shared" si="7"/>
        <v>45000</v>
      </c>
      <c r="AB79" s="9" t="str">
        <f t="shared" si="2"/>
        <v>Pending</v>
      </c>
    </row>
    <row r="80">
      <c r="A80" s="10" t="s">
        <v>313</v>
      </c>
      <c r="B80" s="11">
        <v>15000.0</v>
      </c>
      <c r="C80" s="11" t="s">
        <v>9</v>
      </c>
      <c r="D80" s="12" t="s">
        <v>12</v>
      </c>
      <c r="E80" s="69">
        <v>45892.0</v>
      </c>
      <c r="F80" s="15"/>
      <c r="G80" s="12"/>
      <c r="H80" s="12"/>
      <c r="I80" s="11"/>
      <c r="J80" s="12"/>
      <c r="K80" s="14"/>
      <c r="L80" s="14"/>
      <c r="M80" s="14"/>
      <c r="N80" s="11"/>
      <c r="O80" s="12"/>
      <c r="P80" s="15">
        <v>60000.0</v>
      </c>
      <c r="Q80" s="12" t="s">
        <v>12</v>
      </c>
      <c r="R80" s="12" t="s">
        <v>9</v>
      </c>
      <c r="S80" s="11">
        <v>120.0</v>
      </c>
      <c r="T80" s="69">
        <v>45956.0</v>
      </c>
      <c r="U80" s="69"/>
      <c r="V80" s="14"/>
      <c r="W80" s="14"/>
      <c r="X80" s="69"/>
      <c r="Y80" s="69"/>
      <c r="Z80" s="69"/>
      <c r="AA80" s="16">
        <f t="shared" si="7"/>
        <v>5000</v>
      </c>
      <c r="AB80" s="17" t="str">
        <f t="shared" si="2"/>
        <v>Pending</v>
      </c>
      <c r="AC80" s="18"/>
      <c r="AD80" s="18"/>
      <c r="AE80" s="18"/>
      <c r="AF80" s="18"/>
      <c r="AG80" s="18"/>
      <c r="AH80" s="18"/>
      <c r="AI80" s="18"/>
    </row>
    <row r="81">
      <c r="A81" s="20" t="s">
        <v>314</v>
      </c>
      <c r="B81" s="21">
        <v>15000.0</v>
      </c>
      <c r="C81" s="21" t="s">
        <v>9</v>
      </c>
      <c r="D81" s="22" t="s">
        <v>10</v>
      </c>
      <c r="E81" s="71">
        <v>45955.0</v>
      </c>
      <c r="F81" s="23">
        <v>45000.0</v>
      </c>
      <c r="G81" s="22" t="s">
        <v>10</v>
      </c>
      <c r="H81" s="22" t="s">
        <v>9</v>
      </c>
      <c r="I81" s="21">
        <v>160.0</v>
      </c>
      <c r="J81" s="71">
        <v>45997.0</v>
      </c>
      <c r="K81" s="21" t="s">
        <v>315</v>
      </c>
      <c r="L81" s="29"/>
      <c r="M81" s="29"/>
      <c r="N81" s="21"/>
      <c r="O81" s="22"/>
      <c r="P81" s="23">
        <v>15000.0</v>
      </c>
      <c r="Q81" s="22" t="s">
        <v>10</v>
      </c>
      <c r="R81" s="22" t="s">
        <v>18</v>
      </c>
      <c r="S81" s="21"/>
      <c r="T81" s="71">
        <v>46018.0</v>
      </c>
      <c r="U81" s="71"/>
      <c r="V81" s="7"/>
      <c r="W81" s="7"/>
      <c r="X81" s="71"/>
      <c r="Y81" s="71"/>
      <c r="Z81" s="71"/>
      <c r="AA81" s="28">
        <v>0.0</v>
      </c>
      <c r="AB81" s="25" t="str">
        <f t="shared" si="2"/>
        <v>Paid</v>
      </c>
      <c r="AC81" s="26"/>
      <c r="AD81" s="26"/>
      <c r="AE81" s="26"/>
      <c r="AF81" s="26"/>
      <c r="AG81" s="26"/>
      <c r="AH81" s="26"/>
      <c r="AI81" s="26"/>
    </row>
    <row r="82">
      <c r="A82" s="10" t="s">
        <v>316</v>
      </c>
      <c r="B82" s="11">
        <v>15000.0</v>
      </c>
      <c r="C82" s="11" t="s">
        <v>9</v>
      </c>
      <c r="D82" s="12" t="s">
        <v>10</v>
      </c>
      <c r="E82" s="69">
        <v>45942.0</v>
      </c>
      <c r="F82" s="15">
        <v>15000.0</v>
      </c>
      <c r="G82" s="12" t="s">
        <v>10</v>
      </c>
      <c r="H82" s="12" t="s">
        <v>9</v>
      </c>
      <c r="I82" s="11">
        <v>117.0</v>
      </c>
      <c r="J82" s="69">
        <v>45948.0</v>
      </c>
      <c r="K82" s="15">
        <v>15000.0</v>
      </c>
      <c r="L82" s="12" t="s">
        <v>10</v>
      </c>
      <c r="M82" s="12" t="s">
        <v>18</v>
      </c>
      <c r="N82" s="11"/>
      <c r="O82" s="69">
        <v>46004.0</v>
      </c>
      <c r="P82" s="15">
        <v>15000.0</v>
      </c>
      <c r="Q82" s="12" t="s">
        <v>10</v>
      </c>
      <c r="R82" s="14"/>
      <c r="S82" s="11">
        <v>1754.0</v>
      </c>
      <c r="T82" s="69">
        <v>46004.0</v>
      </c>
      <c r="U82" s="12"/>
      <c r="V82" s="14"/>
      <c r="W82" s="14"/>
      <c r="X82" s="12"/>
      <c r="Y82" s="12"/>
      <c r="Z82" s="12"/>
      <c r="AA82" s="16">
        <f>65000 - SUM(F82, K82, P82)</f>
        <v>20000</v>
      </c>
      <c r="AB82" s="17" t="str">
        <f t="shared" si="2"/>
        <v>Pending</v>
      </c>
      <c r="AC82" s="18"/>
      <c r="AD82" s="18"/>
      <c r="AE82" s="18"/>
      <c r="AF82" s="18"/>
      <c r="AG82" s="18"/>
      <c r="AH82" s="18"/>
      <c r="AI82" s="18"/>
    </row>
    <row r="83">
      <c r="A83" s="89" t="s">
        <v>317</v>
      </c>
      <c r="B83" s="90" t="s">
        <v>249</v>
      </c>
      <c r="C83" s="90" t="s">
        <v>9</v>
      </c>
      <c r="D83" s="91" t="s">
        <v>18</v>
      </c>
      <c r="E83" s="91"/>
      <c r="F83" s="92">
        <v>20000.0</v>
      </c>
      <c r="G83" s="91" t="s">
        <v>10</v>
      </c>
      <c r="H83" s="91" t="s">
        <v>18</v>
      </c>
      <c r="I83" s="93"/>
      <c r="J83" s="94">
        <v>45900.0</v>
      </c>
      <c r="K83" s="92">
        <v>10000.0</v>
      </c>
      <c r="L83" s="91" t="s">
        <v>10</v>
      </c>
      <c r="M83" s="91" t="s">
        <v>9</v>
      </c>
      <c r="N83" s="93"/>
      <c r="O83" s="94">
        <v>45934.0</v>
      </c>
      <c r="P83" s="92">
        <v>10000.0</v>
      </c>
      <c r="Q83" s="91" t="s">
        <v>10</v>
      </c>
      <c r="R83" s="91" t="s">
        <v>18</v>
      </c>
      <c r="S83" s="90">
        <v>126.0</v>
      </c>
      <c r="T83" s="94">
        <v>45962.0</v>
      </c>
      <c r="U83" s="92">
        <v>10000.0</v>
      </c>
      <c r="V83" s="91" t="s">
        <v>10</v>
      </c>
      <c r="W83" s="91" t="s">
        <v>18</v>
      </c>
      <c r="X83" s="91">
        <v>209.0</v>
      </c>
      <c r="Y83" s="94">
        <v>46039.0</v>
      </c>
      <c r="Z83" s="92">
        <v>15000.0</v>
      </c>
      <c r="AA83" s="95">
        <f>65000 - SUM(F83, K83, P83,U83,Z83)</f>
        <v>0</v>
      </c>
      <c r="AB83" s="96" t="str">
        <f t="shared" si="2"/>
        <v>Paid</v>
      </c>
      <c r="AC83" s="97"/>
      <c r="AD83" s="97"/>
      <c r="AE83" s="97"/>
      <c r="AF83" s="97"/>
      <c r="AG83" s="97"/>
      <c r="AH83" s="97"/>
      <c r="AI83" s="97"/>
    </row>
    <row r="84">
      <c r="A84" s="20" t="s">
        <v>318</v>
      </c>
      <c r="B84" s="21">
        <v>15000.0</v>
      </c>
      <c r="C84" s="21" t="s">
        <v>18</v>
      </c>
      <c r="D84" s="22" t="s">
        <v>10</v>
      </c>
      <c r="E84" s="71">
        <v>45886.0</v>
      </c>
      <c r="F84" s="23">
        <v>65000.0</v>
      </c>
      <c r="G84" s="22" t="s">
        <v>10</v>
      </c>
      <c r="H84" s="22" t="s">
        <v>18</v>
      </c>
      <c r="I84" s="21"/>
      <c r="J84" s="71">
        <v>45886.0</v>
      </c>
      <c r="K84" s="29"/>
      <c r="L84" s="29"/>
      <c r="M84" s="29"/>
      <c r="N84" s="21"/>
      <c r="O84" s="22"/>
      <c r="P84" s="29"/>
      <c r="Q84" s="29"/>
      <c r="R84" s="29"/>
      <c r="S84" s="21"/>
      <c r="T84" s="22"/>
      <c r="U84" s="22"/>
      <c r="V84" s="7"/>
      <c r="W84" s="7"/>
      <c r="X84" s="22"/>
      <c r="Y84" s="22"/>
      <c r="Z84" s="22"/>
      <c r="AA84" s="24">
        <f t="shared" ref="AA84:AA89" si="8">65000 - SUM(F84, K84, P84)</f>
        <v>0</v>
      </c>
      <c r="AB84" s="25" t="str">
        <f t="shared" si="2"/>
        <v>Paid</v>
      </c>
      <c r="AC84" s="26"/>
      <c r="AD84" s="26"/>
      <c r="AE84" s="26"/>
      <c r="AF84" s="26"/>
      <c r="AG84" s="26"/>
      <c r="AH84" s="26"/>
      <c r="AI84" s="26"/>
    </row>
    <row r="85">
      <c r="A85" s="3" t="s">
        <v>319</v>
      </c>
      <c r="B85" s="4">
        <v>15000.0</v>
      </c>
      <c r="C85" s="4" t="s">
        <v>18</v>
      </c>
      <c r="D85" s="5" t="s">
        <v>12</v>
      </c>
      <c r="E85" s="67">
        <v>45886.0</v>
      </c>
      <c r="F85" s="6"/>
      <c r="G85" s="5"/>
      <c r="H85" s="5"/>
      <c r="I85" s="4"/>
      <c r="J85" s="5"/>
      <c r="K85" s="7"/>
      <c r="L85" s="7"/>
      <c r="M85" s="7"/>
      <c r="N85" s="4"/>
      <c r="O85" s="5"/>
      <c r="P85" s="7"/>
      <c r="Q85" s="7"/>
      <c r="R85" s="7"/>
      <c r="S85" s="4"/>
      <c r="T85" s="5"/>
      <c r="U85" s="5"/>
      <c r="V85" s="7"/>
      <c r="W85" s="7"/>
      <c r="X85" s="5"/>
      <c r="Y85" s="5"/>
      <c r="Z85" s="5"/>
      <c r="AA85" s="8">
        <f t="shared" si="8"/>
        <v>65000</v>
      </c>
      <c r="AB85" s="9" t="str">
        <f t="shared" si="2"/>
        <v>Pending</v>
      </c>
    </row>
    <row r="86">
      <c r="A86" s="10" t="s">
        <v>320</v>
      </c>
      <c r="B86" s="11">
        <v>15000.0</v>
      </c>
      <c r="C86" s="11" t="s">
        <v>18</v>
      </c>
      <c r="D86" s="12" t="s">
        <v>12</v>
      </c>
      <c r="E86" s="69">
        <v>45962.0</v>
      </c>
      <c r="F86" s="15">
        <v>25000.0</v>
      </c>
      <c r="G86" s="12" t="s">
        <v>12</v>
      </c>
      <c r="H86" s="12" t="s">
        <v>18</v>
      </c>
      <c r="I86" s="11">
        <v>127.0</v>
      </c>
      <c r="J86" s="69">
        <v>45962.0</v>
      </c>
      <c r="K86" s="14"/>
      <c r="L86" s="14"/>
      <c r="M86" s="14"/>
      <c r="N86" s="11"/>
      <c r="O86" s="12"/>
      <c r="P86" s="14"/>
      <c r="Q86" s="14"/>
      <c r="R86" s="14"/>
      <c r="S86" s="11"/>
      <c r="T86" s="12"/>
      <c r="U86" s="12"/>
      <c r="V86" s="14"/>
      <c r="W86" s="14"/>
      <c r="X86" s="12"/>
      <c r="Y86" s="12"/>
      <c r="Z86" s="12"/>
      <c r="AA86" s="16">
        <f t="shared" si="8"/>
        <v>40000</v>
      </c>
      <c r="AB86" s="17" t="str">
        <f t="shared" si="2"/>
        <v>Pending</v>
      </c>
      <c r="AC86" s="18"/>
      <c r="AD86" s="18"/>
      <c r="AE86" s="18"/>
      <c r="AF86" s="18"/>
      <c r="AG86" s="18"/>
      <c r="AH86" s="18"/>
      <c r="AI86" s="18"/>
    </row>
    <row r="87">
      <c r="A87" s="20" t="s">
        <v>321</v>
      </c>
      <c r="B87" s="21">
        <v>15000.0</v>
      </c>
      <c r="C87" s="21" t="s">
        <v>9</v>
      </c>
      <c r="D87" s="22" t="s">
        <v>10</v>
      </c>
      <c r="E87" s="71">
        <v>45942.0</v>
      </c>
      <c r="F87" s="23">
        <v>16250.0</v>
      </c>
      <c r="G87" s="22" t="s">
        <v>10</v>
      </c>
      <c r="H87" s="22" t="s">
        <v>9</v>
      </c>
      <c r="I87" s="21">
        <v>129.0</v>
      </c>
      <c r="J87" s="71">
        <v>45963.0</v>
      </c>
      <c r="K87" s="23">
        <v>48750.0</v>
      </c>
      <c r="L87" s="22" t="s">
        <v>12</v>
      </c>
      <c r="M87" s="29"/>
      <c r="N87" s="21">
        <v>190.0</v>
      </c>
      <c r="O87" s="22"/>
      <c r="P87" s="29"/>
      <c r="Q87" s="29"/>
      <c r="R87" s="29"/>
      <c r="S87" s="21"/>
      <c r="T87" s="22"/>
      <c r="U87" s="22"/>
      <c r="V87" s="29"/>
      <c r="W87" s="29"/>
      <c r="X87" s="22"/>
      <c r="Y87" s="22"/>
      <c r="Z87" s="22"/>
      <c r="AA87" s="24">
        <f t="shared" si="8"/>
        <v>0</v>
      </c>
      <c r="AB87" s="25" t="str">
        <f t="shared" si="2"/>
        <v>Paid</v>
      </c>
      <c r="AC87" s="26"/>
      <c r="AD87" s="26"/>
      <c r="AE87" s="26"/>
      <c r="AF87" s="26"/>
      <c r="AG87" s="26"/>
      <c r="AH87" s="26"/>
      <c r="AI87" s="26"/>
    </row>
    <row r="88">
      <c r="A88" s="10" t="s">
        <v>322</v>
      </c>
      <c r="B88" s="11">
        <v>15000.0</v>
      </c>
      <c r="C88" s="11"/>
      <c r="D88" s="12"/>
      <c r="E88" s="12"/>
      <c r="F88" s="15">
        <v>15000.0</v>
      </c>
      <c r="G88" s="12" t="s">
        <v>12</v>
      </c>
      <c r="H88" s="12" t="s">
        <v>9</v>
      </c>
      <c r="I88" s="11">
        <v>130.0</v>
      </c>
      <c r="J88" s="69">
        <v>45970.0</v>
      </c>
      <c r="K88" s="14"/>
      <c r="L88" s="14"/>
      <c r="M88" s="14"/>
      <c r="N88" s="11"/>
      <c r="O88" s="12"/>
      <c r="P88" s="14"/>
      <c r="Q88" s="14"/>
      <c r="R88" s="14"/>
      <c r="S88" s="11"/>
      <c r="T88" s="12"/>
      <c r="U88" s="12"/>
      <c r="V88" s="14"/>
      <c r="W88" s="14"/>
      <c r="X88" s="12"/>
      <c r="Y88" s="12"/>
      <c r="Z88" s="12"/>
      <c r="AA88" s="16">
        <f t="shared" si="8"/>
        <v>50000</v>
      </c>
      <c r="AB88" s="17" t="str">
        <f t="shared" si="2"/>
        <v>Pending</v>
      </c>
      <c r="AC88" s="18"/>
      <c r="AD88" s="18"/>
      <c r="AE88" s="18"/>
      <c r="AF88" s="18"/>
      <c r="AG88" s="18"/>
      <c r="AH88" s="18"/>
      <c r="AI88" s="18"/>
    </row>
    <row r="89">
      <c r="A89" s="10" t="s">
        <v>323</v>
      </c>
      <c r="B89" s="11">
        <v>15000.0</v>
      </c>
      <c r="C89" s="11"/>
      <c r="D89" s="12"/>
      <c r="E89" s="12"/>
      <c r="F89" s="15">
        <v>10000.0</v>
      </c>
      <c r="G89" s="12" t="s">
        <v>10</v>
      </c>
      <c r="H89" s="12" t="s">
        <v>18</v>
      </c>
      <c r="I89" s="11">
        <v>138.0</v>
      </c>
      <c r="J89" s="69">
        <v>45977.0</v>
      </c>
      <c r="K89" s="14"/>
      <c r="L89" s="14"/>
      <c r="M89" s="14"/>
      <c r="N89" s="11"/>
      <c r="O89" s="12"/>
      <c r="P89" s="14"/>
      <c r="Q89" s="14"/>
      <c r="R89" s="14"/>
      <c r="S89" s="11"/>
      <c r="T89" s="12"/>
      <c r="U89" s="12"/>
      <c r="V89" s="14"/>
      <c r="W89" s="14"/>
      <c r="X89" s="12"/>
      <c r="Y89" s="12"/>
      <c r="Z89" s="12"/>
      <c r="AA89" s="16">
        <f t="shared" si="8"/>
        <v>55000</v>
      </c>
      <c r="AB89" s="17" t="str">
        <f t="shared" si="2"/>
        <v>Pending</v>
      </c>
      <c r="AC89" s="18"/>
      <c r="AD89" s="18"/>
      <c r="AE89" s="18"/>
      <c r="AF89" s="18"/>
      <c r="AG89" s="18"/>
      <c r="AH89" s="18"/>
      <c r="AI89" s="18"/>
    </row>
    <row r="90">
      <c r="A90" s="20" t="s">
        <v>324</v>
      </c>
      <c r="B90" s="21">
        <v>15000.0</v>
      </c>
      <c r="C90" s="21"/>
      <c r="D90" s="22" t="s">
        <v>12</v>
      </c>
      <c r="E90" s="22"/>
      <c r="F90" s="23">
        <v>15000.0</v>
      </c>
      <c r="G90" s="22" t="s">
        <v>12</v>
      </c>
      <c r="H90" s="22"/>
      <c r="I90" s="21">
        <v>121.0</v>
      </c>
      <c r="J90" s="71">
        <v>45956.0</v>
      </c>
      <c r="K90" s="23">
        <v>55000.0</v>
      </c>
      <c r="L90" s="22" t="s">
        <v>12</v>
      </c>
      <c r="M90" s="29"/>
      <c r="N90" s="21">
        <v>176.0</v>
      </c>
      <c r="O90" s="71">
        <v>46005.0</v>
      </c>
      <c r="P90" s="29"/>
      <c r="Q90" s="29"/>
      <c r="R90" s="29"/>
      <c r="S90" s="21"/>
      <c r="T90" s="22"/>
      <c r="U90" s="22"/>
      <c r="V90" s="7"/>
      <c r="W90" s="7"/>
      <c r="X90" s="22"/>
      <c r="Y90" s="22"/>
      <c r="Z90" s="22"/>
      <c r="AA90" s="28">
        <v>0.0</v>
      </c>
      <c r="AB90" s="25" t="str">
        <f t="shared" si="2"/>
        <v>Paid</v>
      </c>
      <c r="AC90" s="26"/>
      <c r="AD90" s="26"/>
      <c r="AE90" s="26"/>
      <c r="AF90" s="26"/>
      <c r="AG90" s="26"/>
      <c r="AH90" s="26"/>
      <c r="AI90" s="26"/>
    </row>
    <row r="91">
      <c r="A91" s="20" t="s">
        <v>325</v>
      </c>
      <c r="B91" s="21">
        <v>15000.0</v>
      </c>
      <c r="C91" s="21" t="s">
        <v>18</v>
      </c>
      <c r="D91" s="22" t="s">
        <v>12</v>
      </c>
      <c r="E91" s="22"/>
      <c r="F91" s="23">
        <v>40000.0</v>
      </c>
      <c r="G91" s="22" t="s">
        <v>12</v>
      </c>
      <c r="H91" s="22" t="s">
        <v>18</v>
      </c>
      <c r="I91" s="21"/>
      <c r="J91" s="71">
        <v>46047.0</v>
      </c>
      <c r="K91" s="29"/>
      <c r="L91" s="29"/>
      <c r="M91" s="29"/>
      <c r="N91" s="21"/>
      <c r="O91" s="22"/>
      <c r="P91" s="29"/>
      <c r="Q91" s="29"/>
      <c r="R91" s="29"/>
      <c r="S91" s="21"/>
      <c r="T91" s="22"/>
      <c r="U91" s="22"/>
      <c r="V91" s="29"/>
      <c r="W91" s="29"/>
      <c r="X91" s="22"/>
      <c r="Y91" s="22"/>
      <c r="Z91" s="22"/>
      <c r="AA91" s="24">
        <f t="shared" ref="AA91:AA100" si="9">65000 - SUM(F91, K91, P91)</f>
        <v>25000</v>
      </c>
      <c r="AB91" s="25" t="str">
        <f t="shared" si="2"/>
        <v>Pending</v>
      </c>
      <c r="AC91" s="26"/>
      <c r="AD91" s="26"/>
      <c r="AE91" s="26"/>
      <c r="AF91" s="26"/>
      <c r="AG91" s="26"/>
      <c r="AH91" s="26"/>
      <c r="AI91" s="26"/>
    </row>
    <row r="92">
      <c r="A92" s="3"/>
      <c r="B92" s="4"/>
      <c r="C92" s="4"/>
      <c r="D92" s="5"/>
      <c r="E92" s="5"/>
      <c r="F92" s="6"/>
      <c r="G92" s="5"/>
      <c r="H92" s="5"/>
      <c r="I92" s="4"/>
      <c r="J92" s="5"/>
      <c r="K92" s="7"/>
      <c r="L92" s="7"/>
      <c r="M92" s="7"/>
      <c r="N92" s="4"/>
      <c r="O92" s="5"/>
      <c r="P92" s="7"/>
      <c r="Q92" s="7"/>
      <c r="R92" s="7"/>
      <c r="S92" s="4"/>
      <c r="T92" s="5"/>
      <c r="U92" s="5"/>
      <c r="V92" s="7"/>
      <c r="W92" s="7"/>
      <c r="X92" s="5"/>
      <c r="Y92" s="5"/>
      <c r="Z92" s="5"/>
      <c r="AA92" s="8">
        <f t="shared" si="9"/>
        <v>65000</v>
      </c>
      <c r="AB92" s="9" t="str">
        <f t="shared" si="2"/>
        <v>Pending</v>
      </c>
    </row>
    <row r="93">
      <c r="A93" s="3"/>
      <c r="B93" s="4"/>
      <c r="C93" s="4"/>
      <c r="D93" s="5"/>
      <c r="E93" s="5"/>
      <c r="F93" s="6"/>
      <c r="G93" s="5"/>
      <c r="H93" s="5"/>
      <c r="I93" s="4"/>
      <c r="J93" s="5"/>
      <c r="K93" s="7"/>
      <c r="L93" s="7"/>
      <c r="M93" s="7"/>
      <c r="N93" s="4"/>
      <c r="O93" s="5"/>
      <c r="P93" s="7"/>
      <c r="Q93" s="7"/>
      <c r="R93" s="7"/>
      <c r="S93" s="4"/>
      <c r="T93" s="5"/>
      <c r="U93" s="5"/>
      <c r="V93" s="7"/>
      <c r="W93" s="7"/>
      <c r="X93" s="5"/>
      <c r="Y93" s="5"/>
      <c r="Z93" s="5"/>
      <c r="AA93" s="8">
        <f t="shared" si="9"/>
        <v>65000</v>
      </c>
      <c r="AB93" s="9" t="str">
        <f t="shared" si="2"/>
        <v>Pending</v>
      </c>
    </row>
    <row r="94">
      <c r="A94" s="3"/>
      <c r="B94" s="4"/>
      <c r="C94" s="4"/>
      <c r="D94" s="5"/>
      <c r="E94" s="5"/>
      <c r="F94" s="6"/>
      <c r="G94" s="5"/>
      <c r="H94" s="5"/>
      <c r="I94" s="4"/>
      <c r="J94" s="5"/>
      <c r="K94" s="7"/>
      <c r="L94" s="7"/>
      <c r="M94" s="7"/>
      <c r="N94" s="4"/>
      <c r="O94" s="5"/>
      <c r="P94" s="7"/>
      <c r="Q94" s="7"/>
      <c r="R94" s="7"/>
      <c r="S94" s="4"/>
      <c r="T94" s="5"/>
      <c r="U94" s="5"/>
      <c r="V94" s="7"/>
      <c r="W94" s="7"/>
      <c r="X94" s="5"/>
      <c r="Y94" s="5"/>
      <c r="Z94" s="5"/>
      <c r="AA94" s="8">
        <f t="shared" si="9"/>
        <v>65000</v>
      </c>
      <c r="AB94" s="9" t="str">
        <f t="shared" si="2"/>
        <v>Pending</v>
      </c>
    </row>
    <row r="95">
      <c r="A95" s="3"/>
      <c r="B95" s="4"/>
      <c r="C95" s="4"/>
      <c r="D95" s="5"/>
      <c r="E95" s="5"/>
      <c r="F95" s="6"/>
      <c r="G95" s="5"/>
      <c r="H95" s="5"/>
      <c r="I95" s="4"/>
      <c r="J95" s="5"/>
      <c r="K95" s="7"/>
      <c r="L95" s="7"/>
      <c r="M95" s="7"/>
      <c r="N95" s="4"/>
      <c r="O95" s="5"/>
      <c r="P95" s="7"/>
      <c r="Q95" s="7"/>
      <c r="R95" s="7"/>
      <c r="S95" s="4"/>
      <c r="T95" s="5"/>
      <c r="U95" s="5"/>
      <c r="V95" s="7"/>
      <c r="W95" s="7"/>
      <c r="X95" s="5"/>
      <c r="Y95" s="5"/>
      <c r="Z95" s="5"/>
      <c r="AA95" s="8">
        <f t="shared" si="9"/>
        <v>65000</v>
      </c>
      <c r="AB95" s="9" t="str">
        <f t="shared" si="2"/>
        <v>Pending</v>
      </c>
    </row>
    <row r="96">
      <c r="A96" s="3"/>
      <c r="B96" s="4"/>
      <c r="C96" s="4"/>
      <c r="D96" s="5"/>
      <c r="E96" s="5"/>
      <c r="F96" s="6"/>
      <c r="G96" s="5"/>
      <c r="H96" s="5"/>
      <c r="I96" s="4"/>
      <c r="J96" s="5"/>
      <c r="K96" s="7"/>
      <c r="L96" s="7"/>
      <c r="M96" s="7"/>
      <c r="N96" s="4"/>
      <c r="O96" s="5"/>
      <c r="P96" s="7"/>
      <c r="Q96" s="7"/>
      <c r="R96" s="7"/>
      <c r="S96" s="4"/>
      <c r="T96" s="5"/>
      <c r="U96" s="5"/>
      <c r="V96" s="7"/>
      <c r="W96" s="7"/>
      <c r="X96" s="5"/>
      <c r="Y96" s="5"/>
      <c r="Z96" s="5"/>
      <c r="AA96" s="8">
        <f t="shared" si="9"/>
        <v>65000</v>
      </c>
      <c r="AB96" s="9" t="str">
        <f t="shared" si="2"/>
        <v>Pending</v>
      </c>
    </row>
    <row r="97">
      <c r="A97" s="3"/>
      <c r="B97" s="4"/>
      <c r="C97" s="4"/>
      <c r="D97" s="5"/>
      <c r="E97" s="5"/>
      <c r="F97" s="6"/>
      <c r="G97" s="5"/>
      <c r="H97" s="5"/>
      <c r="I97" s="4"/>
      <c r="J97" s="5"/>
      <c r="K97" s="7"/>
      <c r="L97" s="7"/>
      <c r="M97" s="7"/>
      <c r="N97" s="4"/>
      <c r="O97" s="5"/>
      <c r="P97" s="7"/>
      <c r="Q97" s="7"/>
      <c r="R97" s="7"/>
      <c r="S97" s="4"/>
      <c r="T97" s="5"/>
      <c r="U97" s="5"/>
      <c r="V97" s="7"/>
      <c r="W97" s="7"/>
      <c r="X97" s="5"/>
      <c r="Y97" s="5"/>
      <c r="Z97" s="5"/>
      <c r="AA97" s="8">
        <f t="shared" si="9"/>
        <v>65000</v>
      </c>
      <c r="AB97" s="9" t="str">
        <f t="shared" si="2"/>
        <v>Pending</v>
      </c>
    </row>
    <row r="98">
      <c r="A98" s="3"/>
      <c r="B98" s="4"/>
      <c r="C98" s="4"/>
      <c r="D98" s="5"/>
      <c r="E98" s="5"/>
      <c r="F98" s="6"/>
      <c r="G98" s="5"/>
      <c r="H98" s="5"/>
      <c r="I98" s="4"/>
      <c r="J98" s="5"/>
      <c r="K98" s="7"/>
      <c r="L98" s="7"/>
      <c r="M98" s="7"/>
      <c r="N98" s="4"/>
      <c r="O98" s="5"/>
      <c r="P98" s="7"/>
      <c r="Q98" s="7"/>
      <c r="R98" s="7"/>
      <c r="S98" s="4"/>
      <c r="T98" s="5"/>
      <c r="U98" s="5"/>
      <c r="V98" s="7"/>
      <c r="W98" s="7"/>
      <c r="X98" s="5"/>
      <c r="Y98" s="5"/>
      <c r="Z98" s="5"/>
      <c r="AA98" s="8">
        <f t="shared" si="9"/>
        <v>65000</v>
      </c>
      <c r="AB98" s="9" t="str">
        <f t="shared" si="2"/>
        <v>Pending</v>
      </c>
    </row>
    <row r="99">
      <c r="A99" s="3"/>
      <c r="B99" s="4"/>
      <c r="C99" s="4"/>
      <c r="D99" s="5"/>
      <c r="E99" s="5"/>
      <c r="F99" s="6"/>
      <c r="G99" s="5"/>
      <c r="H99" s="5"/>
      <c r="I99" s="4"/>
      <c r="J99" s="5"/>
      <c r="K99" s="7"/>
      <c r="L99" s="7"/>
      <c r="M99" s="7"/>
      <c r="N99" s="4"/>
      <c r="O99" s="5"/>
      <c r="P99" s="7"/>
      <c r="Q99" s="7"/>
      <c r="R99" s="7"/>
      <c r="S99" s="4"/>
      <c r="T99" s="5"/>
      <c r="U99" s="5"/>
      <c r="V99" s="7"/>
      <c r="W99" s="7"/>
      <c r="X99" s="5"/>
      <c r="Y99" s="5"/>
      <c r="Z99" s="5"/>
      <c r="AA99" s="8">
        <f t="shared" si="9"/>
        <v>65000</v>
      </c>
      <c r="AB99" s="9" t="str">
        <f t="shared" si="2"/>
        <v>Pending</v>
      </c>
    </row>
    <row r="100">
      <c r="A100" s="3"/>
      <c r="B100" s="4"/>
      <c r="C100" s="4"/>
      <c r="D100" s="5"/>
      <c r="E100" s="5"/>
      <c r="F100" s="6"/>
      <c r="G100" s="5"/>
      <c r="H100" s="5"/>
      <c r="I100" s="4"/>
      <c r="J100" s="5"/>
      <c r="K100" s="7"/>
      <c r="L100" s="7"/>
      <c r="M100" s="7"/>
      <c r="N100" s="4"/>
      <c r="O100" s="5"/>
      <c r="P100" s="7"/>
      <c r="Q100" s="7"/>
      <c r="R100" s="7"/>
      <c r="S100" s="4"/>
      <c r="T100" s="5"/>
      <c r="U100" s="5"/>
      <c r="V100" s="7"/>
      <c r="W100" s="7"/>
      <c r="X100" s="5"/>
      <c r="Y100" s="5"/>
      <c r="Z100" s="5"/>
      <c r="AA100" s="8">
        <f t="shared" si="9"/>
        <v>65000</v>
      </c>
      <c r="AB100" s="9" t="str">
        <f t="shared" si="2"/>
        <v>Pending</v>
      </c>
    </row>
    <row r="101">
      <c r="I101" s="98"/>
      <c r="N101" s="98"/>
      <c r="S101" s="98"/>
    </row>
    <row r="102">
      <c r="I102" s="98"/>
      <c r="N102" s="98"/>
      <c r="S102" s="98"/>
    </row>
    <row r="103">
      <c r="I103" s="98"/>
      <c r="N103" s="98"/>
      <c r="S103" s="98"/>
    </row>
    <row r="104">
      <c r="I104" s="98"/>
      <c r="N104" s="98"/>
      <c r="S104" s="98"/>
    </row>
    <row r="105">
      <c r="I105" s="98"/>
      <c r="N105" s="98"/>
      <c r="S105" s="98"/>
    </row>
    <row r="106">
      <c r="I106" s="98"/>
      <c r="N106" s="98"/>
      <c r="S106" s="98"/>
    </row>
    <row r="107">
      <c r="I107" s="98"/>
      <c r="N107" s="98"/>
      <c r="S107" s="98"/>
    </row>
    <row r="108">
      <c r="I108" s="98"/>
      <c r="N108" s="98"/>
      <c r="S108" s="98"/>
    </row>
    <row r="109">
      <c r="I109" s="98"/>
      <c r="N109" s="98"/>
      <c r="S109" s="98"/>
    </row>
    <row r="110">
      <c r="I110" s="98"/>
      <c r="N110" s="98"/>
      <c r="S110" s="98"/>
    </row>
    <row r="111">
      <c r="I111" s="98"/>
      <c r="N111" s="98"/>
      <c r="S111" s="98"/>
    </row>
    <row r="112">
      <c r="I112" s="98"/>
      <c r="N112" s="98"/>
      <c r="S112" s="98"/>
    </row>
    <row r="113">
      <c r="I113" s="98"/>
      <c r="N113" s="98"/>
      <c r="S113" s="98"/>
    </row>
    <row r="114">
      <c r="I114" s="98"/>
      <c r="N114" s="98"/>
      <c r="S114" s="98"/>
    </row>
    <row r="115">
      <c r="I115" s="98"/>
      <c r="N115" s="98"/>
      <c r="S115" s="98"/>
    </row>
    <row r="116">
      <c r="I116" s="98"/>
      <c r="N116" s="98"/>
      <c r="S116" s="98"/>
    </row>
    <row r="117">
      <c r="I117" s="98"/>
      <c r="N117" s="98"/>
      <c r="S117" s="98"/>
    </row>
    <row r="118">
      <c r="I118" s="98"/>
      <c r="N118" s="98"/>
      <c r="S118" s="98"/>
    </row>
    <row r="119">
      <c r="I119" s="98"/>
      <c r="N119" s="98"/>
      <c r="S119" s="98"/>
    </row>
    <row r="120">
      <c r="I120" s="98"/>
      <c r="N120" s="98"/>
      <c r="S120" s="98"/>
    </row>
    <row r="121">
      <c r="I121" s="98"/>
      <c r="N121" s="98"/>
      <c r="S121" s="98"/>
    </row>
    <row r="122">
      <c r="I122" s="98"/>
      <c r="N122" s="98"/>
      <c r="S122" s="98"/>
    </row>
    <row r="123">
      <c r="I123" s="98"/>
      <c r="N123" s="98"/>
      <c r="S123" s="98"/>
    </row>
    <row r="124">
      <c r="I124" s="98"/>
      <c r="N124" s="98"/>
      <c r="S124" s="98"/>
    </row>
    <row r="125">
      <c r="I125" s="98"/>
      <c r="N125" s="98"/>
      <c r="S125" s="98"/>
    </row>
    <row r="126">
      <c r="I126" s="98"/>
      <c r="N126" s="98"/>
      <c r="S126" s="98"/>
    </row>
    <row r="127">
      <c r="I127" s="98"/>
      <c r="N127" s="98"/>
      <c r="S127" s="98"/>
    </row>
    <row r="128">
      <c r="I128" s="98"/>
      <c r="N128" s="98"/>
      <c r="S128" s="98"/>
    </row>
    <row r="129">
      <c r="I129" s="98"/>
      <c r="N129" s="98"/>
      <c r="S129" s="98"/>
    </row>
    <row r="130">
      <c r="I130" s="98"/>
      <c r="N130" s="98"/>
      <c r="S130" s="98"/>
    </row>
    <row r="131">
      <c r="I131" s="98"/>
      <c r="N131" s="98"/>
      <c r="S131" s="98"/>
    </row>
    <row r="132">
      <c r="I132" s="98"/>
      <c r="N132" s="98"/>
      <c r="S132" s="98"/>
    </row>
    <row r="133">
      <c r="I133" s="98"/>
      <c r="N133" s="98"/>
      <c r="S133" s="98"/>
    </row>
    <row r="134">
      <c r="I134" s="98"/>
      <c r="N134" s="98"/>
      <c r="S134" s="98"/>
    </row>
    <row r="135">
      <c r="I135" s="98"/>
      <c r="N135" s="98"/>
      <c r="S135" s="98"/>
    </row>
    <row r="136">
      <c r="I136" s="98"/>
      <c r="N136" s="98"/>
      <c r="S136" s="98"/>
    </row>
    <row r="137">
      <c r="I137" s="98"/>
      <c r="N137" s="98"/>
      <c r="S137" s="98"/>
    </row>
    <row r="138">
      <c r="I138" s="98"/>
      <c r="N138" s="98"/>
      <c r="S138" s="98"/>
    </row>
    <row r="139">
      <c r="I139" s="98"/>
      <c r="N139" s="98"/>
      <c r="S139" s="98"/>
    </row>
    <row r="140">
      <c r="I140" s="98"/>
      <c r="N140" s="98"/>
      <c r="S140" s="98"/>
    </row>
    <row r="141">
      <c r="I141" s="98"/>
      <c r="N141" s="98"/>
      <c r="S141" s="98"/>
    </row>
    <row r="142">
      <c r="I142" s="98"/>
      <c r="N142" s="98"/>
      <c r="S142" s="98"/>
    </row>
    <row r="143">
      <c r="I143" s="98"/>
      <c r="N143" s="98"/>
      <c r="S143" s="98"/>
    </row>
    <row r="144">
      <c r="I144" s="98"/>
      <c r="N144" s="98"/>
      <c r="S144" s="98"/>
    </row>
    <row r="145">
      <c r="I145" s="98"/>
      <c r="N145" s="98"/>
      <c r="S145" s="98"/>
    </row>
    <row r="146">
      <c r="I146" s="98"/>
      <c r="N146" s="98"/>
      <c r="S146" s="98"/>
    </row>
    <row r="147">
      <c r="I147" s="98"/>
      <c r="N147" s="98"/>
      <c r="S147" s="98"/>
    </row>
    <row r="148">
      <c r="I148" s="98"/>
      <c r="N148" s="98"/>
      <c r="S148" s="98"/>
    </row>
    <row r="149">
      <c r="I149" s="98"/>
      <c r="N149" s="98"/>
      <c r="S149" s="98"/>
    </row>
    <row r="150">
      <c r="I150" s="98"/>
      <c r="N150" s="98"/>
      <c r="S150" s="98"/>
    </row>
    <row r="151">
      <c r="I151" s="98"/>
      <c r="N151" s="98"/>
      <c r="S151" s="98"/>
    </row>
    <row r="152">
      <c r="I152" s="98"/>
      <c r="N152" s="98"/>
      <c r="S152" s="98"/>
    </row>
    <row r="153">
      <c r="I153" s="98"/>
      <c r="N153" s="98"/>
      <c r="S153" s="98"/>
    </row>
    <row r="154">
      <c r="I154" s="98"/>
      <c r="N154" s="98"/>
      <c r="S154" s="98"/>
    </row>
    <row r="155">
      <c r="I155" s="98"/>
      <c r="N155" s="98"/>
      <c r="S155" s="98"/>
    </row>
    <row r="156">
      <c r="I156" s="98"/>
      <c r="N156" s="98"/>
      <c r="S156" s="98"/>
    </row>
    <row r="157">
      <c r="I157" s="98"/>
      <c r="N157" s="98"/>
      <c r="S157" s="98"/>
    </row>
    <row r="158">
      <c r="I158" s="98"/>
      <c r="N158" s="98"/>
      <c r="S158" s="98"/>
    </row>
    <row r="159">
      <c r="I159" s="98"/>
      <c r="N159" s="98"/>
      <c r="S159" s="98"/>
    </row>
    <row r="160">
      <c r="I160" s="98"/>
      <c r="N160" s="98"/>
      <c r="S160" s="98"/>
    </row>
    <row r="161">
      <c r="I161" s="98"/>
      <c r="N161" s="98"/>
      <c r="S161" s="98"/>
    </row>
    <row r="162">
      <c r="I162" s="98"/>
      <c r="N162" s="98"/>
      <c r="S162" s="98"/>
    </row>
    <row r="163">
      <c r="I163" s="98"/>
      <c r="N163" s="98"/>
      <c r="S163" s="98"/>
    </row>
    <row r="164">
      <c r="I164" s="98"/>
      <c r="N164" s="98"/>
      <c r="S164" s="98"/>
    </row>
    <row r="165">
      <c r="I165" s="98"/>
      <c r="N165" s="98"/>
      <c r="S165" s="98"/>
    </row>
    <row r="166">
      <c r="I166" s="98"/>
      <c r="N166" s="98"/>
      <c r="S166" s="98"/>
    </row>
    <row r="167">
      <c r="I167" s="98"/>
      <c r="N167" s="98"/>
      <c r="S167" s="98"/>
    </row>
    <row r="168">
      <c r="I168" s="98"/>
      <c r="N168" s="98"/>
      <c r="S168" s="98"/>
    </row>
    <row r="169">
      <c r="I169" s="98"/>
      <c r="N169" s="98"/>
      <c r="S169" s="98"/>
    </row>
    <row r="170">
      <c r="I170" s="98"/>
      <c r="N170" s="98"/>
      <c r="S170" s="98"/>
    </row>
    <row r="171">
      <c r="I171" s="98"/>
      <c r="N171" s="98"/>
      <c r="S171" s="98"/>
    </row>
    <row r="172">
      <c r="I172" s="98"/>
      <c r="N172" s="98"/>
      <c r="S172" s="98"/>
    </row>
    <row r="173">
      <c r="I173" s="98"/>
      <c r="N173" s="98"/>
      <c r="S173" s="98"/>
    </row>
    <row r="174">
      <c r="I174" s="98"/>
      <c r="N174" s="98"/>
      <c r="S174" s="98"/>
    </row>
    <row r="175">
      <c r="I175" s="98"/>
      <c r="N175" s="98"/>
      <c r="S175" s="98"/>
    </row>
    <row r="176">
      <c r="I176" s="98"/>
      <c r="N176" s="98"/>
      <c r="S176" s="98"/>
    </row>
    <row r="177">
      <c r="I177" s="98"/>
      <c r="N177" s="98"/>
      <c r="S177" s="98"/>
    </row>
    <row r="178">
      <c r="I178" s="98"/>
      <c r="N178" s="98"/>
      <c r="S178" s="98"/>
    </row>
    <row r="179">
      <c r="I179" s="98"/>
      <c r="N179" s="98"/>
      <c r="S179" s="98"/>
    </row>
    <row r="180">
      <c r="I180" s="98"/>
      <c r="N180" s="98"/>
      <c r="S180" s="98"/>
    </row>
    <row r="181">
      <c r="I181" s="98"/>
      <c r="N181" s="98"/>
      <c r="S181" s="98"/>
    </row>
    <row r="182">
      <c r="I182" s="98"/>
      <c r="N182" s="98"/>
      <c r="S182" s="98"/>
    </row>
    <row r="183">
      <c r="I183" s="98"/>
      <c r="N183" s="98"/>
      <c r="S183" s="98"/>
    </row>
    <row r="184">
      <c r="I184" s="98"/>
      <c r="N184" s="98"/>
      <c r="S184" s="98"/>
    </row>
    <row r="185">
      <c r="I185" s="98"/>
      <c r="N185" s="98"/>
      <c r="S185" s="98"/>
    </row>
    <row r="186">
      <c r="I186" s="98"/>
      <c r="N186" s="98"/>
      <c r="S186" s="98"/>
    </row>
    <row r="187">
      <c r="I187" s="98"/>
      <c r="N187" s="98"/>
      <c r="S187" s="98"/>
    </row>
    <row r="188">
      <c r="I188" s="98"/>
      <c r="N188" s="98"/>
      <c r="S188" s="98"/>
    </row>
    <row r="189">
      <c r="I189" s="98"/>
      <c r="N189" s="98"/>
      <c r="S189" s="98"/>
    </row>
    <row r="190">
      <c r="I190" s="98"/>
      <c r="N190" s="98"/>
      <c r="S190" s="98"/>
    </row>
    <row r="191">
      <c r="I191" s="98"/>
      <c r="N191" s="98"/>
      <c r="S191" s="98"/>
    </row>
    <row r="192">
      <c r="I192" s="98"/>
      <c r="N192" s="98"/>
      <c r="S192" s="98"/>
    </row>
    <row r="193">
      <c r="I193" s="98"/>
      <c r="N193" s="98"/>
      <c r="S193" s="98"/>
    </row>
    <row r="194">
      <c r="I194" s="98"/>
      <c r="N194" s="98"/>
      <c r="S194" s="98"/>
    </row>
    <row r="195">
      <c r="I195" s="98"/>
      <c r="N195" s="98"/>
      <c r="S195" s="98"/>
    </row>
    <row r="196">
      <c r="I196" s="98"/>
      <c r="N196" s="98"/>
      <c r="S196" s="98"/>
    </row>
    <row r="197">
      <c r="I197" s="98"/>
      <c r="N197" s="98"/>
      <c r="S197" s="98"/>
    </row>
    <row r="198">
      <c r="I198" s="98"/>
      <c r="N198" s="98"/>
      <c r="S198" s="98"/>
    </row>
    <row r="199">
      <c r="I199" s="98"/>
      <c r="N199" s="98"/>
      <c r="S199" s="98"/>
    </row>
    <row r="200">
      <c r="I200" s="98"/>
      <c r="N200" s="98"/>
      <c r="S200" s="98"/>
    </row>
    <row r="201">
      <c r="I201" s="98"/>
      <c r="N201" s="98"/>
      <c r="S201" s="98"/>
    </row>
    <row r="202">
      <c r="I202" s="98"/>
      <c r="N202" s="98"/>
      <c r="S202" s="98"/>
    </row>
    <row r="203">
      <c r="I203" s="98"/>
      <c r="N203" s="98"/>
      <c r="S203" s="98"/>
    </row>
    <row r="204">
      <c r="I204" s="98"/>
      <c r="N204" s="98"/>
      <c r="S204" s="98"/>
    </row>
    <row r="205">
      <c r="I205" s="98"/>
      <c r="N205" s="98"/>
      <c r="S205" s="98"/>
    </row>
    <row r="206">
      <c r="I206" s="98"/>
      <c r="N206" s="98"/>
      <c r="S206" s="98"/>
    </row>
    <row r="207">
      <c r="I207" s="98"/>
      <c r="N207" s="98"/>
      <c r="S207" s="98"/>
    </row>
    <row r="208">
      <c r="I208" s="98"/>
      <c r="N208" s="98"/>
      <c r="S208" s="98"/>
    </row>
    <row r="209">
      <c r="I209" s="98"/>
      <c r="N209" s="98"/>
      <c r="S209" s="98"/>
    </row>
    <row r="210">
      <c r="I210" s="98"/>
      <c r="N210" s="98"/>
      <c r="S210" s="98"/>
    </row>
    <row r="211">
      <c r="I211" s="98"/>
      <c r="N211" s="98"/>
      <c r="S211" s="98"/>
    </row>
    <row r="212">
      <c r="I212" s="98"/>
      <c r="N212" s="98"/>
      <c r="S212" s="98"/>
    </row>
    <row r="213">
      <c r="I213" s="98"/>
      <c r="N213" s="98"/>
      <c r="S213" s="98"/>
    </row>
    <row r="214">
      <c r="I214" s="98"/>
      <c r="N214" s="98"/>
      <c r="S214" s="98"/>
    </row>
    <row r="215">
      <c r="I215" s="98"/>
      <c r="N215" s="98"/>
      <c r="S215" s="98"/>
    </row>
    <row r="216">
      <c r="I216" s="98"/>
      <c r="N216" s="98"/>
      <c r="S216" s="98"/>
    </row>
    <row r="217">
      <c r="I217" s="98"/>
      <c r="N217" s="98"/>
      <c r="S217" s="98"/>
    </row>
    <row r="218">
      <c r="I218" s="98"/>
      <c r="N218" s="98"/>
      <c r="S218" s="98"/>
    </row>
    <row r="219">
      <c r="I219" s="98"/>
      <c r="N219" s="98"/>
      <c r="S219" s="98"/>
    </row>
    <row r="220">
      <c r="I220" s="98"/>
      <c r="N220" s="98"/>
      <c r="S220" s="98"/>
    </row>
    <row r="221">
      <c r="I221" s="98"/>
      <c r="N221" s="98"/>
      <c r="S221" s="98"/>
    </row>
    <row r="222">
      <c r="I222" s="98"/>
      <c r="N222" s="98"/>
      <c r="S222" s="98"/>
    </row>
    <row r="223">
      <c r="I223" s="98"/>
      <c r="N223" s="98"/>
      <c r="S223" s="98"/>
    </row>
    <row r="224">
      <c r="I224" s="98"/>
      <c r="N224" s="98"/>
      <c r="S224" s="98"/>
    </row>
    <row r="225">
      <c r="I225" s="98"/>
      <c r="N225" s="98"/>
      <c r="S225" s="98"/>
    </row>
    <row r="226">
      <c r="I226" s="98"/>
      <c r="N226" s="98"/>
      <c r="S226" s="98"/>
    </row>
    <row r="227">
      <c r="I227" s="98"/>
      <c r="N227" s="98"/>
      <c r="S227" s="98"/>
    </row>
    <row r="228">
      <c r="I228" s="98"/>
      <c r="N228" s="98"/>
      <c r="S228" s="98"/>
    </row>
    <row r="229">
      <c r="I229" s="98"/>
      <c r="N229" s="98"/>
      <c r="S229" s="98"/>
    </row>
    <row r="230">
      <c r="I230" s="98"/>
      <c r="N230" s="98"/>
      <c r="S230" s="98"/>
    </row>
    <row r="231">
      <c r="I231" s="98"/>
      <c r="N231" s="98"/>
      <c r="S231" s="98"/>
    </row>
    <row r="232">
      <c r="I232" s="98"/>
      <c r="N232" s="98"/>
      <c r="S232" s="98"/>
    </row>
    <row r="233">
      <c r="I233" s="98"/>
      <c r="N233" s="98"/>
      <c r="S233" s="98"/>
    </row>
    <row r="234">
      <c r="I234" s="98"/>
      <c r="N234" s="98"/>
      <c r="S234" s="98"/>
    </row>
    <row r="235">
      <c r="I235" s="98"/>
      <c r="N235" s="98"/>
      <c r="S235" s="98"/>
    </row>
    <row r="236">
      <c r="I236" s="98"/>
      <c r="N236" s="98"/>
      <c r="S236" s="98"/>
    </row>
    <row r="237">
      <c r="I237" s="98"/>
      <c r="N237" s="98"/>
      <c r="S237" s="98"/>
    </row>
    <row r="238">
      <c r="I238" s="98"/>
      <c r="N238" s="98"/>
      <c r="S238" s="98"/>
    </row>
    <row r="239">
      <c r="I239" s="98"/>
      <c r="N239" s="98"/>
      <c r="S239" s="98"/>
    </row>
    <row r="240">
      <c r="I240" s="98"/>
      <c r="N240" s="98"/>
      <c r="S240" s="98"/>
    </row>
    <row r="241">
      <c r="I241" s="98"/>
      <c r="N241" s="98"/>
      <c r="S241" s="98"/>
    </row>
    <row r="242">
      <c r="I242" s="98"/>
      <c r="N242" s="98"/>
      <c r="S242" s="98"/>
    </row>
    <row r="243">
      <c r="I243" s="98"/>
      <c r="N243" s="98"/>
      <c r="S243" s="98"/>
    </row>
    <row r="244">
      <c r="I244" s="98"/>
      <c r="N244" s="98"/>
      <c r="S244" s="98"/>
    </row>
    <row r="245">
      <c r="I245" s="98"/>
      <c r="N245" s="98"/>
      <c r="S245" s="98"/>
    </row>
    <row r="246">
      <c r="I246" s="98"/>
      <c r="N246" s="98"/>
      <c r="S246" s="98"/>
    </row>
    <row r="247">
      <c r="I247" s="98"/>
      <c r="N247" s="98"/>
      <c r="S247" s="98"/>
    </row>
    <row r="248">
      <c r="I248" s="98"/>
      <c r="N248" s="98"/>
      <c r="S248" s="98"/>
    </row>
    <row r="249">
      <c r="I249" s="98"/>
      <c r="N249" s="98"/>
      <c r="S249" s="98"/>
    </row>
    <row r="250">
      <c r="I250" s="98"/>
      <c r="N250" s="98"/>
      <c r="S250" s="98"/>
    </row>
    <row r="251">
      <c r="I251" s="98"/>
      <c r="N251" s="98"/>
      <c r="S251" s="98"/>
    </row>
    <row r="252">
      <c r="I252" s="98"/>
      <c r="N252" s="98"/>
      <c r="S252" s="98"/>
    </row>
    <row r="253">
      <c r="I253" s="98"/>
      <c r="N253" s="98"/>
      <c r="S253" s="98"/>
    </row>
    <row r="254">
      <c r="I254" s="98"/>
      <c r="N254" s="98"/>
      <c r="S254" s="98"/>
    </row>
    <row r="255">
      <c r="I255" s="98"/>
      <c r="N255" s="98"/>
      <c r="S255" s="98"/>
    </row>
    <row r="256">
      <c r="I256" s="98"/>
      <c r="N256" s="98"/>
      <c r="S256" s="98"/>
    </row>
    <row r="257">
      <c r="I257" s="98"/>
      <c r="N257" s="98"/>
      <c r="S257" s="98"/>
    </row>
    <row r="258">
      <c r="I258" s="98"/>
      <c r="N258" s="98"/>
      <c r="S258" s="98"/>
    </row>
    <row r="259">
      <c r="I259" s="98"/>
      <c r="N259" s="98"/>
      <c r="S259" s="98"/>
    </row>
    <row r="260">
      <c r="I260" s="98"/>
      <c r="N260" s="98"/>
      <c r="S260" s="98"/>
    </row>
    <row r="261">
      <c r="I261" s="98"/>
      <c r="N261" s="98"/>
      <c r="S261" s="98"/>
    </row>
    <row r="262">
      <c r="I262" s="98"/>
      <c r="N262" s="98"/>
      <c r="S262" s="98"/>
    </row>
    <row r="263">
      <c r="I263" s="98"/>
      <c r="N263" s="98"/>
      <c r="S263" s="98"/>
    </row>
    <row r="264">
      <c r="I264" s="98"/>
      <c r="N264" s="98"/>
      <c r="S264" s="98"/>
    </row>
    <row r="265">
      <c r="I265" s="98"/>
      <c r="N265" s="98"/>
      <c r="S265" s="98"/>
    </row>
    <row r="266">
      <c r="I266" s="98"/>
      <c r="N266" s="98"/>
      <c r="S266" s="98"/>
    </row>
    <row r="267">
      <c r="I267" s="98"/>
      <c r="N267" s="98"/>
      <c r="S267" s="98"/>
    </row>
    <row r="268">
      <c r="I268" s="98"/>
      <c r="N268" s="98"/>
      <c r="S268" s="98"/>
    </row>
    <row r="269">
      <c r="I269" s="98"/>
      <c r="N269" s="98"/>
      <c r="S269" s="98"/>
    </row>
    <row r="270">
      <c r="I270" s="98"/>
      <c r="N270" s="98"/>
      <c r="S270" s="98"/>
    </row>
    <row r="271">
      <c r="I271" s="98"/>
      <c r="N271" s="98"/>
      <c r="S271" s="98"/>
    </row>
    <row r="272">
      <c r="I272" s="98"/>
      <c r="N272" s="98"/>
      <c r="S272" s="98"/>
    </row>
    <row r="273">
      <c r="I273" s="98"/>
      <c r="N273" s="98"/>
      <c r="S273" s="98"/>
    </row>
    <row r="274">
      <c r="I274" s="98"/>
      <c r="N274" s="98"/>
      <c r="S274" s="98"/>
    </row>
    <row r="275">
      <c r="I275" s="98"/>
      <c r="N275" s="98"/>
      <c r="S275" s="98"/>
    </row>
    <row r="276">
      <c r="I276" s="98"/>
      <c r="N276" s="98"/>
      <c r="S276" s="98"/>
    </row>
    <row r="277">
      <c r="I277" s="98"/>
      <c r="N277" s="98"/>
      <c r="S277" s="98"/>
    </row>
    <row r="278">
      <c r="I278" s="98"/>
      <c r="N278" s="98"/>
      <c r="S278" s="98"/>
    </row>
    <row r="279">
      <c r="I279" s="98"/>
      <c r="N279" s="98"/>
      <c r="S279" s="98"/>
    </row>
    <row r="280">
      <c r="I280" s="98"/>
      <c r="N280" s="98"/>
      <c r="S280" s="98"/>
    </row>
    <row r="281">
      <c r="I281" s="98"/>
      <c r="N281" s="98"/>
      <c r="S281" s="98"/>
    </row>
    <row r="282">
      <c r="I282" s="98"/>
      <c r="N282" s="98"/>
      <c r="S282" s="98"/>
    </row>
    <row r="283">
      <c r="I283" s="98"/>
      <c r="N283" s="98"/>
      <c r="S283" s="98"/>
    </row>
    <row r="284">
      <c r="I284" s="98"/>
      <c r="N284" s="98"/>
      <c r="S284" s="98"/>
    </row>
    <row r="285">
      <c r="I285" s="98"/>
      <c r="N285" s="98"/>
      <c r="S285" s="98"/>
    </row>
    <row r="286">
      <c r="I286" s="98"/>
      <c r="N286" s="98"/>
      <c r="S286" s="98"/>
    </row>
    <row r="287">
      <c r="I287" s="98"/>
      <c r="N287" s="98"/>
      <c r="S287" s="98"/>
    </row>
    <row r="288">
      <c r="I288" s="98"/>
      <c r="N288" s="98"/>
      <c r="S288" s="98"/>
    </row>
    <row r="289">
      <c r="I289" s="98"/>
      <c r="N289" s="98"/>
      <c r="S289" s="98"/>
    </row>
    <row r="290">
      <c r="I290" s="98"/>
      <c r="N290" s="98"/>
      <c r="S290" s="98"/>
    </row>
    <row r="291">
      <c r="I291" s="98"/>
      <c r="N291" s="98"/>
      <c r="S291" s="98"/>
    </row>
    <row r="292">
      <c r="I292" s="98"/>
      <c r="N292" s="98"/>
      <c r="S292" s="98"/>
    </row>
    <row r="293">
      <c r="I293" s="98"/>
      <c r="N293" s="98"/>
      <c r="S293" s="98"/>
    </row>
    <row r="294">
      <c r="I294" s="98"/>
      <c r="N294" s="98"/>
      <c r="S294" s="98"/>
    </row>
    <row r="295">
      <c r="I295" s="98"/>
      <c r="N295" s="98"/>
      <c r="S295" s="98"/>
    </row>
    <row r="296">
      <c r="I296" s="98"/>
      <c r="N296" s="98"/>
      <c r="S296" s="98"/>
    </row>
    <row r="297">
      <c r="I297" s="98"/>
      <c r="N297" s="98"/>
      <c r="S297" s="98"/>
    </row>
    <row r="298">
      <c r="I298" s="98"/>
      <c r="N298" s="98"/>
      <c r="S298" s="98"/>
    </row>
    <row r="299">
      <c r="I299" s="98"/>
      <c r="N299" s="98"/>
      <c r="S299" s="98"/>
    </row>
    <row r="300">
      <c r="I300" s="98"/>
      <c r="N300" s="98"/>
      <c r="S300" s="98"/>
    </row>
    <row r="301">
      <c r="I301" s="98"/>
      <c r="N301" s="98"/>
      <c r="S301" s="98"/>
    </row>
    <row r="302">
      <c r="I302" s="98"/>
      <c r="N302" s="98"/>
      <c r="S302" s="98"/>
    </row>
    <row r="303">
      <c r="I303" s="98"/>
      <c r="N303" s="98"/>
      <c r="S303" s="98"/>
    </row>
    <row r="304">
      <c r="I304" s="98"/>
      <c r="N304" s="98"/>
      <c r="S304" s="98"/>
    </row>
    <row r="305">
      <c r="I305" s="98"/>
      <c r="N305" s="98"/>
      <c r="S305" s="98"/>
    </row>
    <row r="306">
      <c r="I306" s="98"/>
      <c r="N306" s="98"/>
      <c r="S306" s="98"/>
    </row>
    <row r="307">
      <c r="I307" s="98"/>
      <c r="N307" s="98"/>
      <c r="S307" s="98"/>
    </row>
    <row r="308">
      <c r="I308" s="98"/>
      <c r="N308" s="98"/>
      <c r="S308" s="98"/>
    </row>
    <row r="309">
      <c r="I309" s="98"/>
      <c r="N309" s="98"/>
      <c r="S309" s="98"/>
    </row>
    <row r="310">
      <c r="I310" s="98"/>
      <c r="N310" s="98"/>
      <c r="S310" s="98"/>
    </row>
    <row r="311">
      <c r="I311" s="98"/>
      <c r="N311" s="98"/>
      <c r="S311" s="98"/>
    </row>
    <row r="312">
      <c r="I312" s="98"/>
      <c r="N312" s="98"/>
      <c r="S312" s="98"/>
    </row>
    <row r="313">
      <c r="I313" s="98"/>
      <c r="N313" s="98"/>
      <c r="S313" s="98"/>
    </row>
    <row r="314">
      <c r="I314" s="98"/>
      <c r="N314" s="98"/>
      <c r="S314" s="98"/>
    </row>
    <row r="315">
      <c r="I315" s="98"/>
      <c r="N315" s="98"/>
      <c r="S315" s="98"/>
    </row>
    <row r="316">
      <c r="I316" s="98"/>
      <c r="N316" s="98"/>
      <c r="S316" s="98"/>
    </row>
    <row r="317">
      <c r="I317" s="98"/>
      <c r="N317" s="98"/>
      <c r="S317" s="98"/>
    </row>
    <row r="318">
      <c r="I318" s="98"/>
      <c r="N318" s="98"/>
      <c r="S318" s="98"/>
    </row>
    <row r="319">
      <c r="I319" s="98"/>
      <c r="N319" s="98"/>
      <c r="S319" s="98"/>
    </row>
    <row r="320">
      <c r="I320" s="98"/>
      <c r="N320" s="98"/>
      <c r="S320" s="98"/>
    </row>
    <row r="321">
      <c r="I321" s="98"/>
      <c r="N321" s="98"/>
      <c r="S321" s="98"/>
    </row>
    <row r="322">
      <c r="I322" s="98"/>
      <c r="N322" s="98"/>
      <c r="S322" s="98"/>
    </row>
    <row r="323">
      <c r="I323" s="98"/>
      <c r="N323" s="98"/>
      <c r="S323" s="98"/>
    </row>
    <row r="324">
      <c r="I324" s="98"/>
      <c r="N324" s="98"/>
      <c r="S324" s="98"/>
    </row>
    <row r="325">
      <c r="I325" s="98"/>
      <c r="N325" s="98"/>
      <c r="S325" s="98"/>
    </row>
    <row r="326">
      <c r="I326" s="98"/>
      <c r="N326" s="98"/>
      <c r="S326" s="98"/>
    </row>
    <row r="327">
      <c r="I327" s="98"/>
      <c r="N327" s="98"/>
      <c r="S327" s="98"/>
    </row>
    <row r="328">
      <c r="I328" s="98"/>
      <c r="N328" s="98"/>
      <c r="S328" s="98"/>
    </row>
    <row r="329">
      <c r="I329" s="98"/>
      <c r="N329" s="98"/>
      <c r="S329" s="98"/>
    </row>
    <row r="330">
      <c r="I330" s="98"/>
      <c r="N330" s="98"/>
      <c r="S330" s="98"/>
    </row>
    <row r="331">
      <c r="I331" s="98"/>
      <c r="N331" s="98"/>
      <c r="S331" s="98"/>
    </row>
    <row r="332">
      <c r="I332" s="98"/>
      <c r="N332" s="98"/>
      <c r="S332" s="98"/>
    </row>
    <row r="333">
      <c r="I333" s="98"/>
      <c r="N333" s="98"/>
      <c r="S333" s="98"/>
    </row>
    <row r="334">
      <c r="I334" s="98"/>
      <c r="N334" s="98"/>
      <c r="S334" s="98"/>
    </row>
    <row r="335">
      <c r="I335" s="98"/>
      <c r="N335" s="98"/>
      <c r="S335" s="98"/>
    </row>
    <row r="336">
      <c r="I336" s="98"/>
      <c r="N336" s="98"/>
      <c r="S336" s="98"/>
    </row>
    <row r="337">
      <c r="I337" s="98"/>
      <c r="N337" s="98"/>
      <c r="S337" s="98"/>
    </row>
    <row r="338">
      <c r="I338" s="98"/>
      <c r="N338" s="98"/>
      <c r="S338" s="98"/>
    </row>
    <row r="339">
      <c r="I339" s="98"/>
      <c r="N339" s="98"/>
      <c r="S339" s="98"/>
    </row>
    <row r="340">
      <c r="I340" s="98"/>
      <c r="N340" s="98"/>
      <c r="S340" s="98"/>
    </row>
    <row r="341">
      <c r="I341" s="98"/>
      <c r="N341" s="98"/>
      <c r="S341" s="98"/>
    </row>
    <row r="342">
      <c r="I342" s="98"/>
      <c r="N342" s="98"/>
      <c r="S342" s="98"/>
    </row>
    <row r="343">
      <c r="I343" s="98"/>
      <c r="N343" s="98"/>
      <c r="S343" s="98"/>
    </row>
    <row r="344">
      <c r="I344" s="98"/>
      <c r="N344" s="98"/>
      <c r="S344" s="98"/>
    </row>
    <row r="345">
      <c r="I345" s="98"/>
      <c r="N345" s="98"/>
      <c r="S345" s="98"/>
    </row>
    <row r="346">
      <c r="I346" s="98"/>
      <c r="N346" s="98"/>
      <c r="S346" s="98"/>
    </row>
    <row r="347">
      <c r="I347" s="98"/>
      <c r="N347" s="98"/>
      <c r="S347" s="98"/>
    </row>
    <row r="348">
      <c r="I348" s="98"/>
      <c r="N348" s="98"/>
      <c r="S348" s="98"/>
    </row>
    <row r="349">
      <c r="I349" s="98"/>
      <c r="N349" s="98"/>
      <c r="S349" s="98"/>
    </row>
    <row r="350">
      <c r="I350" s="98"/>
      <c r="N350" s="98"/>
      <c r="S350" s="98"/>
    </row>
    <row r="351">
      <c r="I351" s="98"/>
      <c r="N351" s="98"/>
      <c r="S351" s="98"/>
    </row>
    <row r="352">
      <c r="I352" s="98"/>
      <c r="N352" s="98"/>
      <c r="S352" s="98"/>
    </row>
    <row r="353">
      <c r="I353" s="98"/>
      <c r="N353" s="98"/>
      <c r="S353" s="98"/>
    </row>
    <row r="354">
      <c r="I354" s="98"/>
      <c r="N354" s="98"/>
      <c r="S354" s="98"/>
    </row>
    <row r="355">
      <c r="I355" s="98"/>
      <c r="N355" s="98"/>
      <c r="S355" s="98"/>
    </row>
    <row r="356">
      <c r="I356" s="98"/>
      <c r="N356" s="98"/>
      <c r="S356" s="98"/>
    </row>
    <row r="357">
      <c r="I357" s="98"/>
      <c r="N357" s="98"/>
      <c r="S357" s="98"/>
    </row>
    <row r="358">
      <c r="I358" s="98"/>
      <c r="N358" s="98"/>
      <c r="S358" s="98"/>
    </row>
    <row r="359">
      <c r="I359" s="98"/>
      <c r="N359" s="98"/>
      <c r="S359" s="98"/>
    </row>
    <row r="360">
      <c r="I360" s="98"/>
      <c r="N360" s="98"/>
      <c r="S360" s="98"/>
    </row>
    <row r="361">
      <c r="I361" s="98"/>
      <c r="N361" s="98"/>
      <c r="S361" s="98"/>
    </row>
    <row r="362">
      <c r="I362" s="98"/>
      <c r="N362" s="98"/>
      <c r="S362" s="98"/>
    </row>
    <row r="363">
      <c r="I363" s="98"/>
      <c r="N363" s="98"/>
      <c r="S363" s="98"/>
    </row>
    <row r="364">
      <c r="I364" s="98"/>
      <c r="N364" s="98"/>
      <c r="S364" s="98"/>
    </row>
    <row r="365">
      <c r="I365" s="98"/>
      <c r="N365" s="98"/>
      <c r="S365" s="98"/>
    </row>
    <row r="366">
      <c r="I366" s="98"/>
      <c r="N366" s="98"/>
      <c r="S366" s="98"/>
    </row>
    <row r="367">
      <c r="I367" s="98"/>
      <c r="N367" s="98"/>
      <c r="S367" s="98"/>
    </row>
    <row r="368">
      <c r="I368" s="98"/>
      <c r="N368" s="98"/>
      <c r="S368" s="98"/>
    </row>
    <row r="369">
      <c r="I369" s="98"/>
      <c r="N369" s="98"/>
      <c r="S369" s="98"/>
    </row>
    <row r="370">
      <c r="I370" s="98"/>
      <c r="N370" s="98"/>
      <c r="S370" s="98"/>
    </row>
    <row r="371">
      <c r="I371" s="98"/>
      <c r="N371" s="98"/>
      <c r="S371" s="98"/>
    </row>
    <row r="372">
      <c r="I372" s="98"/>
      <c r="N372" s="98"/>
      <c r="S372" s="98"/>
    </row>
    <row r="373">
      <c r="I373" s="98"/>
      <c r="N373" s="98"/>
      <c r="S373" s="98"/>
    </row>
    <row r="374">
      <c r="I374" s="98"/>
      <c r="N374" s="98"/>
      <c r="S374" s="98"/>
    </row>
    <row r="375">
      <c r="I375" s="98"/>
      <c r="N375" s="98"/>
      <c r="S375" s="98"/>
    </row>
    <row r="376">
      <c r="I376" s="98"/>
      <c r="N376" s="98"/>
      <c r="S376" s="98"/>
    </row>
    <row r="377">
      <c r="I377" s="98"/>
      <c r="N377" s="98"/>
      <c r="S377" s="98"/>
    </row>
    <row r="378">
      <c r="I378" s="98"/>
      <c r="N378" s="98"/>
      <c r="S378" s="98"/>
    </row>
    <row r="379">
      <c r="I379" s="98"/>
      <c r="N379" s="98"/>
      <c r="S379" s="98"/>
    </row>
    <row r="380">
      <c r="I380" s="98"/>
      <c r="N380" s="98"/>
      <c r="S380" s="98"/>
    </row>
    <row r="381">
      <c r="I381" s="98"/>
      <c r="N381" s="98"/>
      <c r="S381" s="98"/>
    </row>
    <row r="382">
      <c r="I382" s="98"/>
      <c r="N382" s="98"/>
      <c r="S382" s="98"/>
    </row>
    <row r="383">
      <c r="I383" s="98"/>
      <c r="N383" s="98"/>
      <c r="S383" s="98"/>
    </row>
    <row r="384">
      <c r="I384" s="98"/>
      <c r="N384" s="98"/>
      <c r="S384" s="98"/>
    </row>
    <row r="385">
      <c r="I385" s="98"/>
      <c r="N385" s="98"/>
      <c r="S385" s="98"/>
    </row>
    <row r="386">
      <c r="I386" s="98"/>
      <c r="N386" s="98"/>
      <c r="S386" s="98"/>
    </row>
    <row r="387">
      <c r="I387" s="98"/>
      <c r="N387" s="98"/>
      <c r="S387" s="98"/>
    </row>
    <row r="388">
      <c r="I388" s="98"/>
      <c r="N388" s="98"/>
      <c r="S388" s="98"/>
    </row>
    <row r="389">
      <c r="I389" s="98"/>
      <c r="N389" s="98"/>
      <c r="S389" s="98"/>
    </row>
    <row r="390">
      <c r="I390" s="98"/>
      <c r="N390" s="98"/>
      <c r="S390" s="98"/>
    </row>
    <row r="391">
      <c r="I391" s="98"/>
      <c r="N391" s="98"/>
      <c r="S391" s="98"/>
    </row>
    <row r="392">
      <c r="I392" s="98"/>
      <c r="N392" s="98"/>
      <c r="S392" s="98"/>
    </row>
    <row r="393">
      <c r="I393" s="98"/>
      <c r="N393" s="98"/>
      <c r="S393" s="98"/>
    </row>
    <row r="394">
      <c r="I394" s="98"/>
      <c r="N394" s="98"/>
      <c r="S394" s="98"/>
    </row>
    <row r="395">
      <c r="I395" s="98"/>
      <c r="N395" s="98"/>
      <c r="S395" s="98"/>
    </row>
    <row r="396">
      <c r="I396" s="98"/>
      <c r="N396" s="98"/>
      <c r="S396" s="98"/>
    </row>
    <row r="397">
      <c r="I397" s="98"/>
      <c r="N397" s="98"/>
      <c r="S397" s="98"/>
    </row>
    <row r="398">
      <c r="I398" s="98"/>
      <c r="N398" s="98"/>
      <c r="S398" s="98"/>
    </row>
    <row r="399">
      <c r="I399" s="98"/>
      <c r="N399" s="98"/>
      <c r="S399" s="98"/>
    </row>
    <row r="400">
      <c r="I400" s="98"/>
      <c r="N400" s="98"/>
      <c r="S400" s="98"/>
    </row>
    <row r="401">
      <c r="I401" s="98"/>
      <c r="N401" s="98"/>
      <c r="S401" s="98"/>
    </row>
    <row r="402">
      <c r="I402" s="98"/>
      <c r="N402" s="98"/>
      <c r="S402" s="98"/>
    </row>
    <row r="403">
      <c r="I403" s="98"/>
      <c r="N403" s="98"/>
      <c r="S403" s="98"/>
    </row>
    <row r="404">
      <c r="I404" s="98"/>
      <c r="N404" s="98"/>
      <c r="S404" s="98"/>
    </row>
    <row r="405">
      <c r="I405" s="98"/>
      <c r="N405" s="98"/>
      <c r="S405" s="98"/>
    </row>
    <row r="406">
      <c r="I406" s="98"/>
      <c r="N406" s="98"/>
      <c r="S406" s="98"/>
    </row>
    <row r="407">
      <c r="I407" s="98"/>
      <c r="N407" s="98"/>
      <c r="S407" s="98"/>
    </row>
    <row r="408">
      <c r="I408" s="98"/>
      <c r="N408" s="98"/>
      <c r="S408" s="98"/>
    </row>
    <row r="409">
      <c r="I409" s="98"/>
      <c r="N409" s="98"/>
      <c r="S409" s="98"/>
    </row>
    <row r="410">
      <c r="I410" s="98"/>
      <c r="N410" s="98"/>
      <c r="S410" s="98"/>
    </row>
    <row r="411">
      <c r="I411" s="98"/>
      <c r="N411" s="98"/>
      <c r="S411" s="98"/>
    </row>
    <row r="412">
      <c r="I412" s="98"/>
      <c r="N412" s="98"/>
      <c r="S412" s="98"/>
    </row>
    <row r="413">
      <c r="I413" s="98"/>
      <c r="N413" s="98"/>
      <c r="S413" s="98"/>
    </row>
    <row r="414">
      <c r="I414" s="98"/>
      <c r="N414" s="98"/>
      <c r="S414" s="98"/>
    </row>
    <row r="415">
      <c r="I415" s="98"/>
      <c r="N415" s="98"/>
      <c r="S415" s="98"/>
    </row>
    <row r="416">
      <c r="I416" s="98"/>
      <c r="N416" s="98"/>
      <c r="S416" s="98"/>
    </row>
    <row r="417">
      <c r="I417" s="98"/>
      <c r="N417" s="98"/>
      <c r="S417" s="98"/>
    </row>
    <row r="418">
      <c r="I418" s="98"/>
      <c r="N418" s="98"/>
      <c r="S418" s="98"/>
    </row>
    <row r="419">
      <c r="I419" s="98"/>
      <c r="N419" s="98"/>
      <c r="S419" s="98"/>
    </row>
    <row r="420">
      <c r="I420" s="98"/>
      <c r="N420" s="98"/>
      <c r="S420" s="98"/>
    </row>
    <row r="421">
      <c r="I421" s="98"/>
      <c r="N421" s="98"/>
      <c r="S421" s="98"/>
    </row>
    <row r="422">
      <c r="I422" s="98"/>
      <c r="N422" s="98"/>
      <c r="S422" s="98"/>
    </row>
    <row r="423">
      <c r="I423" s="98"/>
      <c r="N423" s="98"/>
      <c r="S423" s="98"/>
    </row>
    <row r="424">
      <c r="I424" s="98"/>
      <c r="N424" s="98"/>
      <c r="S424" s="98"/>
    </row>
    <row r="425">
      <c r="I425" s="98"/>
      <c r="N425" s="98"/>
      <c r="S425" s="98"/>
    </row>
    <row r="426">
      <c r="I426" s="98"/>
      <c r="N426" s="98"/>
      <c r="S426" s="98"/>
    </row>
    <row r="427">
      <c r="I427" s="98"/>
      <c r="N427" s="98"/>
      <c r="S427" s="98"/>
    </row>
    <row r="428">
      <c r="I428" s="98"/>
      <c r="N428" s="98"/>
      <c r="S428" s="98"/>
    </row>
    <row r="429">
      <c r="I429" s="98"/>
      <c r="N429" s="98"/>
      <c r="S429" s="98"/>
    </row>
    <row r="430">
      <c r="I430" s="98"/>
      <c r="N430" s="98"/>
      <c r="S430" s="98"/>
    </row>
    <row r="431">
      <c r="I431" s="98"/>
      <c r="N431" s="98"/>
      <c r="S431" s="98"/>
    </row>
    <row r="432">
      <c r="I432" s="98"/>
      <c r="N432" s="98"/>
      <c r="S432" s="98"/>
    </row>
    <row r="433">
      <c r="I433" s="98"/>
      <c r="N433" s="98"/>
      <c r="S433" s="98"/>
    </row>
    <row r="434">
      <c r="I434" s="98"/>
      <c r="N434" s="98"/>
      <c r="S434" s="98"/>
    </row>
    <row r="435">
      <c r="I435" s="98"/>
      <c r="N435" s="98"/>
      <c r="S435" s="98"/>
    </row>
    <row r="436">
      <c r="I436" s="98"/>
      <c r="N436" s="98"/>
      <c r="S436" s="98"/>
    </row>
    <row r="437">
      <c r="I437" s="98"/>
      <c r="N437" s="98"/>
      <c r="S437" s="98"/>
    </row>
    <row r="438">
      <c r="I438" s="98"/>
      <c r="N438" s="98"/>
      <c r="S438" s="98"/>
    </row>
    <row r="439">
      <c r="I439" s="98"/>
      <c r="N439" s="98"/>
      <c r="S439" s="98"/>
    </row>
    <row r="440">
      <c r="I440" s="98"/>
      <c r="N440" s="98"/>
      <c r="S440" s="98"/>
    </row>
    <row r="441">
      <c r="I441" s="98"/>
      <c r="N441" s="98"/>
      <c r="S441" s="98"/>
    </row>
    <row r="442">
      <c r="I442" s="98"/>
      <c r="N442" s="98"/>
      <c r="S442" s="98"/>
    </row>
    <row r="443">
      <c r="I443" s="98"/>
      <c r="N443" s="98"/>
      <c r="S443" s="98"/>
    </row>
    <row r="444">
      <c r="I444" s="98"/>
      <c r="N444" s="98"/>
      <c r="S444" s="98"/>
    </row>
    <row r="445">
      <c r="I445" s="98"/>
      <c r="N445" s="98"/>
      <c r="S445" s="98"/>
    </row>
    <row r="446">
      <c r="I446" s="98"/>
      <c r="N446" s="98"/>
      <c r="S446" s="98"/>
    </row>
    <row r="447">
      <c r="I447" s="98"/>
      <c r="N447" s="98"/>
      <c r="S447" s="98"/>
    </row>
    <row r="448">
      <c r="I448" s="98"/>
      <c r="N448" s="98"/>
      <c r="S448" s="98"/>
    </row>
    <row r="449">
      <c r="I449" s="98"/>
      <c r="N449" s="98"/>
      <c r="S449" s="98"/>
    </row>
    <row r="450">
      <c r="I450" s="98"/>
      <c r="N450" s="98"/>
      <c r="S450" s="98"/>
    </row>
    <row r="451">
      <c r="I451" s="98"/>
      <c r="N451" s="98"/>
      <c r="S451" s="98"/>
    </row>
    <row r="452">
      <c r="I452" s="98"/>
      <c r="N452" s="98"/>
      <c r="S452" s="98"/>
    </row>
    <row r="453">
      <c r="I453" s="98"/>
      <c r="N453" s="98"/>
      <c r="S453" s="98"/>
    </row>
    <row r="454">
      <c r="I454" s="98"/>
      <c r="N454" s="98"/>
      <c r="S454" s="98"/>
    </row>
    <row r="455">
      <c r="I455" s="98"/>
      <c r="N455" s="98"/>
      <c r="S455" s="98"/>
    </row>
    <row r="456">
      <c r="I456" s="98"/>
      <c r="N456" s="98"/>
      <c r="S456" s="98"/>
    </row>
    <row r="457">
      <c r="I457" s="98"/>
      <c r="N457" s="98"/>
      <c r="S457" s="98"/>
    </row>
    <row r="458">
      <c r="I458" s="98"/>
      <c r="N458" s="98"/>
      <c r="S458" s="98"/>
    </row>
    <row r="459">
      <c r="I459" s="98"/>
      <c r="N459" s="98"/>
      <c r="S459" s="98"/>
    </row>
    <row r="460">
      <c r="I460" s="98"/>
      <c r="N460" s="98"/>
      <c r="S460" s="98"/>
    </row>
    <row r="461">
      <c r="I461" s="98"/>
      <c r="N461" s="98"/>
      <c r="S461" s="98"/>
    </row>
    <row r="462">
      <c r="I462" s="98"/>
      <c r="N462" s="98"/>
      <c r="S462" s="98"/>
    </row>
    <row r="463">
      <c r="I463" s="98"/>
      <c r="N463" s="98"/>
      <c r="S463" s="98"/>
    </row>
    <row r="464">
      <c r="I464" s="98"/>
      <c r="N464" s="98"/>
      <c r="S464" s="98"/>
    </row>
    <row r="465">
      <c r="I465" s="98"/>
      <c r="N465" s="98"/>
      <c r="S465" s="98"/>
    </row>
    <row r="466">
      <c r="I466" s="98"/>
      <c r="N466" s="98"/>
      <c r="S466" s="98"/>
    </row>
    <row r="467">
      <c r="I467" s="98"/>
      <c r="N467" s="98"/>
      <c r="S467" s="98"/>
    </row>
    <row r="468">
      <c r="I468" s="98"/>
      <c r="N468" s="98"/>
      <c r="S468" s="98"/>
    </row>
    <row r="469">
      <c r="I469" s="98"/>
      <c r="N469" s="98"/>
      <c r="S469" s="98"/>
    </row>
    <row r="470">
      <c r="I470" s="98"/>
      <c r="N470" s="98"/>
      <c r="S470" s="98"/>
    </row>
    <row r="471">
      <c r="I471" s="98"/>
      <c r="N471" s="98"/>
      <c r="S471" s="98"/>
    </row>
    <row r="472">
      <c r="I472" s="98"/>
      <c r="N472" s="98"/>
      <c r="S472" s="98"/>
    </row>
    <row r="473">
      <c r="I473" s="98"/>
      <c r="N473" s="98"/>
      <c r="S473" s="98"/>
    </row>
    <row r="474">
      <c r="I474" s="98"/>
      <c r="N474" s="98"/>
      <c r="S474" s="98"/>
    </row>
    <row r="475">
      <c r="I475" s="98"/>
      <c r="N475" s="98"/>
      <c r="S475" s="98"/>
    </row>
    <row r="476">
      <c r="I476" s="98"/>
      <c r="N476" s="98"/>
      <c r="S476" s="98"/>
    </row>
    <row r="477">
      <c r="I477" s="98"/>
      <c r="N477" s="98"/>
      <c r="S477" s="98"/>
    </row>
    <row r="478">
      <c r="I478" s="98"/>
      <c r="N478" s="98"/>
      <c r="S478" s="98"/>
    </row>
    <row r="479">
      <c r="I479" s="98"/>
      <c r="N479" s="98"/>
      <c r="S479" s="98"/>
    </row>
    <row r="480">
      <c r="I480" s="98"/>
      <c r="N480" s="98"/>
      <c r="S480" s="98"/>
    </row>
    <row r="481">
      <c r="I481" s="98"/>
      <c r="N481" s="98"/>
      <c r="S481" s="98"/>
    </row>
    <row r="482">
      <c r="I482" s="98"/>
      <c r="N482" s="98"/>
      <c r="S482" s="98"/>
    </row>
    <row r="483">
      <c r="I483" s="98"/>
      <c r="N483" s="98"/>
      <c r="S483" s="98"/>
    </row>
    <row r="484">
      <c r="I484" s="98"/>
      <c r="N484" s="98"/>
      <c r="S484" s="98"/>
    </row>
    <row r="485">
      <c r="I485" s="98"/>
      <c r="N485" s="98"/>
      <c r="S485" s="98"/>
    </row>
    <row r="486">
      <c r="I486" s="98"/>
      <c r="N486" s="98"/>
      <c r="S486" s="98"/>
    </row>
    <row r="487">
      <c r="I487" s="98"/>
      <c r="N487" s="98"/>
      <c r="S487" s="98"/>
    </row>
    <row r="488">
      <c r="I488" s="98"/>
      <c r="N488" s="98"/>
      <c r="S488" s="98"/>
    </row>
    <row r="489">
      <c r="I489" s="98"/>
      <c r="N489" s="98"/>
      <c r="S489" s="98"/>
    </row>
    <row r="490">
      <c r="I490" s="98"/>
      <c r="N490" s="98"/>
      <c r="S490" s="98"/>
    </row>
    <row r="491">
      <c r="I491" s="98"/>
      <c r="N491" s="98"/>
      <c r="S491" s="98"/>
    </row>
    <row r="492">
      <c r="I492" s="98"/>
      <c r="N492" s="98"/>
      <c r="S492" s="98"/>
    </row>
    <row r="493">
      <c r="I493" s="98"/>
      <c r="N493" s="98"/>
      <c r="S493" s="98"/>
    </row>
    <row r="494">
      <c r="I494" s="98"/>
      <c r="N494" s="98"/>
      <c r="S494" s="98"/>
    </row>
    <row r="495">
      <c r="I495" s="98"/>
      <c r="N495" s="98"/>
      <c r="S495" s="98"/>
    </row>
    <row r="496">
      <c r="I496" s="98"/>
      <c r="N496" s="98"/>
      <c r="S496" s="98"/>
    </row>
    <row r="497">
      <c r="I497" s="98"/>
      <c r="N497" s="98"/>
      <c r="S497" s="98"/>
    </row>
    <row r="498">
      <c r="I498" s="98"/>
      <c r="N498" s="98"/>
      <c r="S498" s="98"/>
    </row>
    <row r="499">
      <c r="I499" s="98"/>
      <c r="N499" s="98"/>
      <c r="S499" s="98"/>
    </row>
    <row r="500">
      <c r="I500" s="98"/>
      <c r="N500" s="98"/>
      <c r="S500" s="98"/>
    </row>
    <row r="501">
      <c r="I501" s="98"/>
      <c r="N501" s="98"/>
      <c r="S501" s="98"/>
    </row>
    <row r="502">
      <c r="I502" s="98"/>
      <c r="N502" s="98"/>
      <c r="S502" s="98"/>
    </row>
    <row r="503">
      <c r="I503" s="98"/>
      <c r="N503" s="98"/>
      <c r="S503" s="98"/>
    </row>
    <row r="504">
      <c r="I504" s="98"/>
      <c r="N504" s="98"/>
      <c r="S504" s="98"/>
    </row>
    <row r="505">
      <c r="I505" s="98"/>
      <c r="N505" s="98"/>
      <c r="S505" s="98"/>
    </row>
    <row r="506">
      <c r="I506" s="98"/>
      <c r="N506" s="98"/>
      <c r="S506" s="98"/>
    </row>
    <row r="507">
      <c r="I507" s="98"/>
      <c r="N507" s="98"/>
      <c r="S507" s="98"/>
    </row>
    <row r="508">
      <c r="I508" s="98"/>
      <c r="N508" s="98"/>
      <c r="S508" s="98"/>
    </row>
    <row r="509">
      <c r="I509" s="98"/>
      <c r="N509" s="98"/>
      <c r="S509" s="98"/>
    </row>
    <row r="510">
      <c r="I510" s="98"/>
      <c r="N510" s="98"/>
      <c r="S510" s="98"/>
    </row>
    <row r="511">
      <c r="I511" s="98"/>
      <c r="N511" s="98"/>
      <c r="S511" s="98"/>
    </row>
    <row r="512">
      <c r="I512" s="98"/>
      <c r="N512" s="98"/>
      <c r="S512" s="98"/>
    </row>
    <row r="513">
      <c r="I513" s="98"/>
      <c r="N513" s="98"/>
      <c r="S513" s="98"/>
    </row>
    <row r="514">
      <c r="I514" s="98"/>
      <c r="N514" s="98"/>
      <c r="S514" s="98"/>
    </row>
    <row r="515">
      <c r="I515" s="98"/>
      <c r="N515" s="98"/>
      <c r="S515" s="98"/>
    </row>
    <row r="516">
      <c r="I516" s="98"/>
      <c r="N516" s="98"/>
      <c r="S516" s="98"/>
    </row>
    <row r="517">
      <c r="I517" s="98"/>
      <c r="N517" s="98"/>
      <c r="S517" s="98"/>
    </row>
    <row r="518">
      <c r="I518" s="98"/>
      <c r="N518" s="98"/>
      <c r="S518" s="98"/>
    </row>
    <row r="519">
      <c r="I519" s="98"/>
      <c r="N519" s="98"/>
      <c r="S519" s="98"/>
    </row>
    <row r="520">
      <c r="I520" s="98"/>
      <c r="N520" s="98"/>
      <c r="S520" s="98"/>
    </row>
    <row r="521">
      <c r="I521" s="98"/>
      <c r="N521" s="98"/>
      <c r="S521" s="98"/>
    </row>
    <row r="522">
      <c r="I522" s="98"/>
      <c r="N522" s="98"/>
      <c r="S522" s="98"/>
    </row>
    <row r="523">
      <c r="I523" s="98"/>
      <c r="N523" s="98"/>
      <c r="S523" s="98"/>
    </row>
    <row r="524">
      <c r="I524" s="98"/>
      <c r="N524" s="98"/>
      <c r="S524" s="98"/>
    </row>
    <row r="525">
      <c r="I525" s="98"/>
      <c r="N525" s="98"/>
      <c r="S525" s="98"/>
    </row>
    <row r="526">
      <c r="I526" s="98"/>
      <c r="N526" s="98"/>
      <c r="S526" s="98"/>
    </row>
    <row r="527">
      <c r="I527" s="98"/>
      <c r="N527" s="98"/>
      <c r="S527" s="98"/>
    </row>
    <row r="528">
      <c r="I528" s="98"/>
      <c r="N528" s="98"/>
      <c r="S528" s="98"/>
    </row>
    <row r="529">
      <c r="I529" s="98"/>
      <c r="N529" s="98"/>
      <c r="S529" s="98"/>
    </row>
    <row r="530">
      <c r="I530" s="98"/>
      <c r="N530" s="98"/>
      <c r="S530" s="98"/>
    </row>
    <row r="531">
      <c r="I531" s="98"/>
      <c r="N531" s="98"/>
      <c r="S531" s="98"/>
    </row>
    <row r="532">
      <c r="I532" s="98"/>
      <c r="N532" s="98"/>
      <c r="S532" s="98"/>
    </row>
    <row r="533">
      <c r="I533" s="98"/>
      <c r="N533" s="98"/>
      <c r="S533" s="98"/>
    </row>
    <row r="534">
      <c r="I534" s="98"/>
      <c r="N534" s="98"/>
      <c r="S534" s="98"/>
    </row>
    <row r="535">
      <c r="I535" s="98"/>
      <c r="N535" s="98"/>
      <c r="S535" s="98"/>
    </row>
    <row r="536">
      <c r="I536" s="98"/>
      <c r="N536" s="98"/>
      <c r="S536" s="98"/>
    </row>
    <row r="537">
      <c r="I537" s="98"/>
      <c r="N537" s="98"/>
      <c r="S537" s="98"/>
    </row>
    <row r="538">
      <c r="I538" s="98"/>
      <c r="N538" s="98"/>
      <c r="S538" s="98"/>
    </row>
    <row r="539">
      <c r="I539" s="98"/>
      <c r="N539" s="98"/>
      <c r="S539" s="98"/>
    </row>
    <row r="540">
      <c r="I540" s="98"/>
      <c r="N540" s="98"/>
      <c r="S540" s="98"/>
    </row>
    <row r="541">
      <c r="I541" s="98"/>
      <c r="N541" s="98"/>
      <c r="S541" s="98"/>
    </row>
    <row r="542">
      <c r="I542" s="98"/>
      <c r="N542" s="98"/>
      <c r="S542" s="98"/>
    </row>
    <row r="543">
      <c r="I543" s="98"/>
      <c r="N543" s="98"/>
      <c r="S543" s="98"/>
    </row>
    <row r="544">
      <c r="I544" s="98"/>
      <c r="N544" s="98"/>
      <c r="S544" s="98"/>
    </row>
    <row r="545">
      <c r="I545" s="98"/>
      <c r="N545" s="98"/>
      <c r="S545" s="98"/>
    </row>
    <row r="546">
      <c r="I546" s="98"/>
      <c r="N546" s="98"/>
      <c r="S546" s="98"/>
    </row>
    <row r="547">
      <c r="I547" s="98"/>
      <c r="N547" s="98"/>
      <c r="S547" s="98"/>
    </row>
    <row r="548">
      <c r="I548" s="98"/>
      <c r="N548" s="98"/>
      <c r="S548" s="98"/>
    </row>
    <row r="549">
      <c r="I549" s="98"/>
      <c r="N549" s="98"/>
      <c r="S549" s="98"/>
    </row>
    <row r="550">
      <c r="I550" s="98"/>
      <c r="N550" s="98"/>
      <c r="S550" s="98"/>
    </row>
    <row r="551">
      <c r="I551" s="98"/>
      <c r="N551" s="98"/>
      <c r="S551" s="98"/>
    </row>
    <row r="552">
      <c r="I552" s="98"/>
      <c r="N552" s="98"/>
      <c r="S552" s="98"/>
    </row>
    <row r="553">
      <c r="I553" s="98"/>
      <c r="N553" s="98"/>
      <c r="S553" s="98"/>
    </row>
    <row r="554">
      <c r="I554" s="98"/>
      <c r="N554" s="98"/>
      <c r="S554" s="98"/>
    </row>
    <row r="555">
      <c r="I555" s="98"/>
      <c r="N555" s="98"/>
      <c r="S555" s="98"/>
    </row>
    <row r="556">
      <c r="I556" s="98"/>
      <c r="N556" s="98"/>
      <c r="S556" s="98"/>
    </row>
    <row r="557">
      <c r="I557" s="98"/>
      <c r="N557" s="98"/>
      <c r="S557" s="98"/>
    </row>
    <row r="558">
      <c r="I558" s="98"/>
      <c r="N558" s="98"/>
      <c r="S558" s="98"/>
    </row>
    <row r="559">
      <c r="I559" s="98"/>
      <c r="N559" s="98"/>
      <c r="S559" s="98"/>
    </row>
    <row r="560">
      <c r="I560" s="98"/>
      <c r="N560" s="98"/>
      <c r="S560" s="98"/>
    </row>
    <row r="561">
      <c r="I561" s="98"/>
      <c r="N561" s="98"/>
      <c r="S561" s="98"/>
    </row>
    <row r="562">
      <c r="I562" s="98"/>
      <c r="N562" s="98"/>
      <c r="S562" s="98"/>
    </row>
    <row r="563">
      <c r="I563" s="98"/>
      <c r="N563" s="98"/>
      <c r="S563" s="98"/>
    </row>
    <row r="564">
      <c r="I564" s="98"/>
      <c r="N564" s="98"/>
      <c r="S564" s="98"/>
    </row>
    <row r="565">
      <c r="I565" s="98"/>
      <c r="N565" s="98"/>
      <c r="S565" s="98"/>
    </row>
    <row r="566">
      <c r="I566" s="98"/>
      <c r="N566" s="98"/>
      <c r="S566" s="98"/>
    </row>
    <row r="567">
      <c r="I567" s="98"/>
      <c r="N567" s="98"/>
      <c r="S567" s="98"/>
    </row>
    <row r="568">
      <c r="I568" s="98"/>
      <c r="N568" s="98"/>
      <c r="S568" s="98"/>
    </row>
    <row r="569">
      <c r="I569" s="98"/>
      <c r="N569" s="98"/>
      <c r="S569" s="98"/>
    </row>
    <row r="570">
      <c r="I570" s="98"/>
      <c r="N570" s="98"/>
      <c r="S570" s="98"/>
    </row>
    <row r="571">
      <c r="I571" s="98"/>
      <c r="N571" s="98"/>
      <c r="S571" s="98"/>
    </row>
    <row r="572">
      <c r="I572" s="98"/>
      <c r="N572" s="98"/>
      <c r="S572" s="98"/>
    </row>
    <row r="573">
      <c r="I573" s="98"/>
      <c r="N573" s="98"/>
      <c r="S573" s="98"/>
    </row>
    <row r="574">
      <c r="I574" s="98"/>
      <c r="N574" s="98"/>
      <c r="S574" s="98"/>
    </row>
    <row r="575">
      <c r="I575" s="98"/>
      <c r="N575" s="98"/>
      <c r="S575" s="98"/>
    </row>
    <row r="576">
      <c r="I576" s="98"/>
      <c r="N576" s="98"/>
      <c r="S576" s="98"/>
    </row>
    <row r="577">
      <c r="I577" s="98"/>
      <c r="N577" s="98"/>
      <c r="S577" s="98"/>
    </row>
    <row r="578">
      <c r="I578" s="98"/>
      <c r="N578" s="98"/>
      <c r="S578" s="98"/>
    </row>
    <row r="579">
      <c r="I579" s="98"/>
      <c r="N579" s="98"/>
      <c r="S579" s="98"/>
    </row>
    <row r="580">
      <c r="I580" s="98"/>
      <c r="N580" s="98"/>
      <c r="S580" s="98"/>
    </row>
    <row r="581">
      <c r="I581" s="98"/>
      <c r="N581" s="98"/>
      <c r="S581" s="98"/>
    </row>
    <row r="582">
      <c r="I582" s="98"/>
      <c r="N582" s="98"/>
      <c r="S582" s="98"/>
    </row>
    <row r="583">
      <c r="I583" s="98"/>
      <c r="N583" s="98"/>
      <c r="S583" s="98"/>
    </row>
    <row r="584">
      <c r="I584" s="98"/>
      <c r="N584" s="98"/>
      <c r="S584" s="98"/>
    </row>
    <row r="585">
      <c r="I585" s="98"/>
      <c r="N585" s="98"/>
      <c r="S585" s="98"/>
    </row>
    <row r="586">
      <c r="I586" s="98"/>
      <c r="N586" s="98"/>
      <c r="S586" s="98"/>
    </row>
    <row r="587">
      <c r="I587" s="98"/>
      <c r="N587" s="98"/>
      <c r="S587" s="98"/>
    </row>
    <row r="588">
      <c r="I588" s="98"/>
      <c r="N588" s="98"/>
      <c r="S588" s="98"/>
    </row>
    <row r="589">
      <c r="I589" s="98"/>
      <c r="N589" s="98"/>
      <c r="S589" s="98"/>
    </row>
    <row r="590">
      <c r="I590" s="98"/>
      <c r="N590" s="98"/>
      <c r="S590" s="98"/>
    </row>
    <row r="591">
      <c r="I591" s="98"/>
      <c r="N591" s="98"/>
      <c r="S591" s="98"/>
    </row>
    <row r="592">
      <c r="I592" s="98"/>
      <c r="N592" s="98"/>
      <c r="S592" s="98"/>
    </row>
    <row r="593">
      <c r="I593" s="98"/>
      <c r="N593" s="98"/>
      <c r="S593" s="98"/>
    </row>
    <row r="594">
      <c r="I594" s="98"/>
      <c r="N594" s="98"/>
      <c r="S594" s="98"/>
    </row>
    <row r="595">
      <c r="I595" s="98"/>
      <c r="N595" s="98"/>
      <c r="S595" s="98"/>
    </row>
    <row r="596">
      <c r="I596" s="98"/>
      <c r="N596" s="98"/>
      <c r="S596" s="98"/>
    </row>
    <row r="597">
      <c r="I597" s="98"/>
      <c r="N597" s="98"/>
      <c r="S597" s="98"/>
    </row>
    <row r="598">
      <c r="I598" s="98"/>
      <c r="N598" s="98"/>
      <c r="S598" s="98"/>
    </row>
    <row r="599">
      <c r="I599" s="98"/>
      <c r="N599" s="98"/>
      <c r="S599" s="98"/>
    </row>
    <row r="600">
      <c r="I600" s="98"/>
      <c r="N600" s="98"/>
      <c r="S600" s="98"/>
    </row>
    <row r="601">
      <c r="I601" s="98"/>
      <c r="N601" s="98"/>
      <c r="S601" s="98"/>
    </row>
    <row r="602">
      <c r="I602" s="98"/>
      <c r="N602" s="98"/>
      <c r="S602" s="98"/>
    </row>
    <row r="603">
      <c r="I603" s="98"/>
      <c r="N603" s="98"/>
      <c r="S603" s="98"/>
    </row>
    <row r="604">
      <c r="I604" s="98"/>
      <c r="N604" s="98"/>
      <c r="S604" s="98"/>
    </row>
    <row r="605">
      <c r="I605" s="98"/>
      <c r="N605" s="98"/>
      <c r="S605" s="98"/>
    </row>
    <row r="606">
      <c r="I606" s="98"/>
      <c r="N606" s="98"/>
      <c r="S606" s="98"/>
    </row>
    <row r="607">
      <c r="I607" s="98"/>
      <c r="N607" s="98"/>
      <c r="S607" s="98"/>
    </row>
    <row r="608">
      <c r="I608" s="98"/>
      <c r="N608" s="98"/>
      <c r="S608" s="98"/>
    </row>
    <row r="609">
      <c r="I609" s="98"/>
      <c r="N609" s="98"/>
      <c r="S609" s="98"/>
    </row>
    <row r="610">
      <c r="I610" s="98"/>
      <c r="N610" s="98"/>
      <c r="S610" s="98"/>
    </row>
    <row r="611">
      <c r="I611" s="98"/>
      <c r="N611" s="98"/>
      <c r="S611" s="98"/>
    </row>
    <row r="612">
      <c r="I612" s="98"/>
      <c r="N612" s="98"/>
      <c r="S612" s="98"/>
    </row>
    <row r="613">
      <c r="I613" s="98"/>
      <c r="N613" s="98"/>
      <c r="S613" s="98"/>
    </row>
    <row r="614">
      <c r="I614" s="98"/>
      <c r="N614" s="98"/>
      <c r="S614" s="98"/>
    </row>
    <row r="615">
      <c r="I615" s="98"/>
      <c r="N615" s="98"/>
      <c r="S615" s="98"/>
    </row>
    <row r="616">
      <c r="I616" s="98"/>
      <c r="N616" s="98"/>
      <c r="S616" s="98"/>
    </row>
    <row r="617">
      <c r="I617" s="98"/>
      <c r="N617" s="98"/>
      <c r="S617" s="98"/>
    </row>
    <row r="618">
      <c r="I618" s="98"/>
      <c r="N618" s="98"/>
      <c r="S618" s="98"/>
    </row>
    <row r="619">
      <c r="I619" s="98"/>
      <c r="N619" s="98"/>
      <c r="S619" s="98"/>
    </row>
    <row r="620">
      <c r="I620" s="98"/>
      <c r="N620" s="98"/>
      <c r="S620" s="98"/>
    </row>
    <row r="621">
      <c r="I621" s="98"/>
      <c r="N621" s="98"/>
      <c r="S621" s="98"/>
    </row>
    <row r="622">
      <c r="I622" s="98"/>
      <c r="N622" s="98"/>
      <c r="S622" s="98"/>
    </row>
    <row r="623">
      <c r="I623" s="98"/>
      <c r="N623" s="98"/>
      <c r="S623" s="98"/>
    </row>
    <row r="624">
      <c r="I624" s="98"/>
      <c r="N624" s="98"/>
      <c r="S624" s="98"/>
    </row>
    <row r="625">
      <c r="I625" s="98"/>
      <c r="N625" s="98"/>
      <c r="S625" s="98"/>
    </row>
    <row r="626">
      <c r="I626" s="98"/>
      <c r="N626" s="98"/>
      <c r="S626" s="98"/>
    </row>
    <row r="627">
      <c r="I627" s="98"/>
      <c r="N627" s="98"/>
      <c r="S627" s="98"/>
    </row>
    <row r="628">
      <c r="I628" s="98"/>
      <c r="N628" s="98"/>
      <c r="S628" s="98"/>
    </row>
    <row r="629">
      <c r="I629" s="98"/>
      <c r="N629" s="98"/>
      <c r="S629" s="98"/>
    </row>
    <row r="630">
      <c r="I630" s="98"/>
      <c r="N630" s="98"/>
      <c r="S630" s="98"/>
    </row>
    <row r="631">
      <c r="I631" s="98"/>
      <c r="N631" s="98"/>
      <c r="S631" s="98"/>
    </row>
    <row r="632">
      <c r="I632" s="98"/>
      <c r="N632" s="98"/>
      <c r="S632" s="98"/>
    </row>
    <row r="633">
      <c r="I633" s="98"/>
      <c r="N633" s="98"/>
      <c r="S633" s="98"/>
    </row>
    <row r="634">
      <c r="I634" s="98"/>
      <c r="N634" s="98"/>
      <c r="S634" s="98"/>
    </row>
    <row r="635">
      <c r="I635" s="98"/>
      <c r="N635" s="98"/>
      <c r="S635" s="98"/>
    </row>
    <row r="636">
      <c r="I636" s="98"/>
      <c r="N636" s="98"/>
      <c r="S636" s="98"/>
    </row>
    <row r="637">
      <c r="I637" s="98"/>
      <c r="N637" s="98"/>
      <c r="S637" s="98"/>
    </row>
    <row r="638">
      <c r="I638" s="98"/>
      <c r="N638" s="98"/>
      <c r="S638" s="98"/>
    </row>
    <row r="639">
      <c r="I639" s="98"/>
      <c r="N639" s="98"/>
      <c r="S639" s="98"/>
    </row>
    <row r="640">
      <c r="I640" s="98"/>
      <c r="N640" s="98"/>
      <c r="S640" s="98"/>
    </row>
    <row r="641">
      <c r="I641" s="98"/>
      <c r="N641" s="98"/>
      <c r="S641" s="98"/>
    </row>
    <row r="642">
      <c r="I642" s="98"/>
      <c r="N642" s="98"/>
      <c r="S642" s="98"/>
    </row>
    <row r="643">
      <c r="I643" s="98"/>
      <c r="N643" s="98"/>
      <c r="S643" s="98"/>
    </row>
    <row r="644">
      <c r="I644" s="98"/>
      <c r="N644" s="98"/>
      <c r="S644" s="98"/>
    </row>
    <row r="645">
      <c r="I645" s="98"/>
      <c r="N645" s="98"/>
      <c r="S645" s="98"/>
    </row>
    <row r="646">
      <c r="I646" s="98"/>
      <c r="N646" s="98"/>
      <c r="S646" s="98"/>
    </row>
    <row r="647">
      <c r="I647" s="98"/>
      <c r="N647" s="98"/>
      <c r="S647" s="98"/>
    </row>
    <row r="648">
      <c r="I648" s="98"/>
      <c r="N648" s="98"/>
      <c r="S648" s="98"/>
    </row>
    <row r="649">
      <c r="I649" s="98"/>
      <c r="N649" s="98"/>
      <c r="S649" s="98"/>
    </row>
    <row r="650">
      <c r="I650" s="98"/>
      <c r="N650" s="98"/>
      <c r="S650" s="98"/>
    </row>
    <row r="651">
      <c r="I651" s="98"/>
      <c r="N651" s="98"/>
      <c r="S651" s="98"/>
    </row>
    <row r="652">
      <c r="I652" s="98"/>
      <c r="N652" s="98"/>
      <c r="S652" s="98"/>
    </row>
    <row r="653">
      <c r="I653" s="98"/>
      <c r="N653" s="98"/>
      <c r="S653" s="98"/>
    </row>
    <row r="654">
      <c r="I654" s="98"/>
      <c r="N654" s="98"/>
      <c r="S654" s="98"/>
    </row>
    <row r="655">
      <c r="I655" s="98"/>
      <c r="N655" s="98"/>
      <c r="S655" s="98"/>
    </row>
    <row r="656">
      <c r="I656" s="98"/>
      <c r="N656" s="98"/>
      <c r="S656" s="98"/>
    </row>
    <row r="657">
      <c r="I657" s="98"/>
      <c r="N657" s="98"/>
      <c r="S657" s="98"/>
    </row>
    <row r="658">
      <c r="I658" s="98"/>
      <c r="N658" s="98"/>
      <c r="S658" s="98"/>
    </row>
    <row r="659">
      <c r="I659" s="98"/>
      <c r="N659" s="98"/>
      <c r="S659" s="98"/>
    </row>
    <row r="660">
      <c r="I660" s="98"/>
      <c r="N660" s="98"/>
      <c r="S660" s="98"/>
    </row>
    <row r="661">
      <c r="I661" s="98"/>
      <c r="N661" s="98"/>
      <c r="S661" s="98"/>
    </row>
    <row r="662">
      <c r="I662" s="98"/>
      <c r="N662" s="98"/>
      <c r="S662" s="98"/>
    </row>
    <row r="663">
      <c r="I663" s="98"/>
      <c r="N663" s="98"/>
      <c r="S663" s="98"/>
    </row>
    <row r="664">
      <c r="I664" s="98"/>
      <c r="N664" s="98"/>
      <c r="S664" s="98"/>
    </row>
    <row r="665">
      <c r="I665" s="98"/>
      <c r="N665" s="98"/>
      <c r="S665" s="98"/>
    </row>
    <row r="666">
      <c r="I666" s="98"/>
      <c r="N666" s="98"/>
      <c r="S666" s="98"/>
    </row>
    <row r="667">
      <c r="I667" s="98"/>
      <c r="N667" s="98"/>
      <c r="S667" s="98"/>
    </row>
    <row r="668">
      <c r="I668" s="98"/>
      <c r="N668" s="98"/>
      <c r="S668" s="98"/>
    </row>
    <row r="669">
      <c r="I669" s="98"/>
      <c r="N669" s="98"/>
      <c r="S669" s="98"/>
    </row>
    <row r="670">
      <c r="I670" s="98"/>
      <c r="N670" s="98"/>
      <c r="S670" s="98"/>
    </row>
    <row r="671">
      <c r="I671" s="98"/>
      <c r="N671" s="98"/>
      <c r="S671" s="98"/>
    </row>
    <row r="672">
      <c r="I672" s="98"/>
      <c r="N672" s="98"/>
      <c r="S672" s="98"/>
    </row>
    <row r="673">
      <c r="I673" s="98"/>
      <c r="N673" s="98"/>
      <c r="S673" s="98"/>
    </row>
    <row r="674">
      <c r="I674" s="98"/>
      <c r="N674" s="98"/>
      <c r="S674" s="98"/>
    </row>
    <row r="675">
      <c r="I675" s="98"/>
      <c r="N675" s="98"/>
      <c r="S675" s="98"/>
    </row>
    <row r="676">
      <c r="I676" s="98"/>
      <c r="N676" s="98"/>
      <c r="S676" s="98"/>
    </row>
    <row r="677">
      <c r="I677" s="98"/>
      <c r="N677" s="98"/>
      <c r="S677" s="98"/>
    </row>
    <row r="678">
      <c r="I678" s="98"/>
      <c r="N678" s="98"/>
      <c r="S678" s="98"/>
    </row>
    <row r="679">
      <c r="I679" s="98"/>
      <c r="N679" s="98"/>
      <c r="S679" s="98"/>
    </row>
    <row r="680">
      <c r="I680" s="98"/>
      <c r="N680" s="98"/>
      <c r="S680" s="98"/>
    </row>
    <row r="681">
      <c r="I681" s="98"/>
      <c r="N681" s="98"/>
      <c r="S681" s="98"/>
    </row>
    <row r="682">
      <c r="I682" s="98"/>
      <c r="N682" s="98"/>
      <c r="S682" s="98"/>
    </row>
    <row r="683">
      <c r="I683" s="98"/>
      <c r="N683" s="98"/>
      <c r="S683" s="98"/>
    </row>
    <row r="684">
      <c r="I684" s="98"/>
      <c r="N684" s="98"/>
      <c r="S684" s="98"/>
    </row>
    <row r="685">
      <c r="I685" s="98"/>
      <c r="N685" s="98"/>
      <c r="S685" s="98"/>
    </row>
    <row r="686">
      <c r="I686" s="98"/>
      <c r="N686" s="98"/>
      <c r="S686" s="98"/>
    </row>
    <row r="687">
      <c r="I687" s="98"/>
      <c r="N687" s="98"/>
      <c r="S687" s="98"/>
    </row>
    <row r="688">
      <c r="I688" s="98"/>
      <c r="N688" s="98"/>
      <c r="S688" s="98"/>
    </row>
    <row r="689">
      <c r="I689" s="98"/>
      <c r="N689" s="98"/>
      <c r="S689" s="98"/>
    </row>
    <row r="690">
      <c r="I690" s="98"/>
      <c r="N690" s="98"/>
      <c r="S690" s="98"/>
    </row>
    <row r="691">
      <c r="I691" s="98"/>
      <c r="N691" s="98"/>
      <c r="S691" s="98"/>
    </row>
    <row r="692">
      <c r="I692" s="98"/>
      <c r="N692" s="98"/>
      <c r="S692" s="98"/>
    </row>
    <row r="693">
      <c r="I693" s="98"/>
      <c r="N693" s="98"/>
      <c r="S693" s="98"/>
    </row>
    <row r="694">
      <c r="I694" s="98"/>
      <c r="N694" s="98"/>
      <c r="S694" s="98"/>
    </row>
    <row r="695">
      <c r="I695" s="98"/>
      <c r="N695" s="98"/>
      <c r="S695" s="98"/>
    </row>
    <row r="696">
      <c r="I696" s="98"/>
      <c r="N696" s="98"/>
      <c r="S696" s="98"/>
    </row>
    <row r="697">
      <c r="I697" s="98"/>
      <c r="N697" s="98"/>
      <c r="S697" s="98"/>
    </row>
    <row r="698">
      <c r="I698" s="98"/>
      <c r="N698" s="98"/>
      <c r="S698" s="98"/>
    </row>
    <row r="699">
      <c r="I699" s="98"/>
      <c r="N699" s="98"/>
      <c r="S699" s="98"/>
    </row>
    <row r="700">
      <c r="I700" s="98"/>
      <c r="N700" s="98"/>
      <c r="S700" s="98"/>
    </row>
    <row r="701">
      <c r="I701" s="98"/>
      <c r="N701" s="98"/>
      <c r="S701" s="98"/>
    </row>
    <row r="702">
      <c r="I702" s="98"/>
      <c r="N702" s="98"/>
      <c r="S702" s="98"/>
    </row>
    <row r="703">
      <c r="I703" s="98"/>
      <c r="N703" s="98"/>
      <c r="S703" s="98"/>
    </row>
    <row r="704">
      <c r="I704" s="98"/>
      <c r="N704" s="98"/>
      <c r="S704" s="98"/>
    </row>
    <row r="705">
      <c r="I705" s="98"/>
      <c r="N705" s="98"/>
      <c r="S705" s="98"/>
    </row>
    <row r="706">
      <c r="I706" s="98"/>
      <c r="N706" s="98"/>
      <c r="S706" s="98"/>
    </row>
    <row r="707">
      <c r="I707" s="98"/>
      <c r="N707" s="98"/>
      <c r="S707" s="98"/>
    </row>
    <row r="708">
      <c r="I708" s="98"/>
      <c r="N708" s="98"/>
      <c r="S708" s="98"/>
    </row>
    <row r="709">
      <c r="I709" s="98"/>
      <c r="N709" s="98"/>
      <c r="S709" s="98"/>
    </row>
    <row r="710">
      <c r="I710" s="98"/>
      <c r="N710" s="98"/>
      <c r="S710" s="98"/>
    </row>
    <row r="711">
      <c r="I711" s="98"/>
      <c r="N711" s="98"/>
      <c r="S711" s="98"/>
    </row>
    <row r="712">
      <c r="I712" s="98"/>
      <c r="N712" s="98"/>
      <c r="S712" s="98"/>
    </row>
    <row r="713">
      <c r="I713" s="98"/>
      <c r="N713" s="98"/>
      <c r="S713" s="98"/>
    </row>
    <row r="714">
      <c r="I714" s="98"/>
      <c r="N714" s="98"/>
      <c r="S714" s="98"/>
    </row>
    <row r="715">
      <c r="I715" s="98"/>
      <c r="N715" s="98"/>
      <c r="S715" s="98"/>
    </row>
    <row r="716">
      <c r="I716" s="98"/>
      <c r="N716" s="98"/>
      <c r="S716" s="98"/>
    </row>
    <row r="717">
      <c r="I717" s="98"/>
      <c r="N717" s="98"/>
      <c r="S717" s="98"/>
    </row>
    <row r="718">
      <c r="I718" s="98"/>
      <c r="N718" s="98"/>
      <c r="S718" s="98"/>
    </row>
    <row r="719">
      <c r="I719" s="98"/>
      <c r="N719" s="98"/>
      <c r="S719" s="98"/>
    </row>
    <row r="720">
      <c r="I720" s="98"/>
      <c r="N720" s="98"/>
      <c r="S720" s="98"/>
    </row>
    <row r="721">
      <c r="I721" s="98"/>
      <c r="N721" s="98"/>
      <c r="S721" s="98"/>
    </row>
    <row r="722">
      <c r="I722" s="98"/>
      <c r="N722" s="98"/>
      <c r="S722" s="98"/>
    </row>
    <row r="723">
      <c r="I723" s="98"/>
      <c r="N723" s="98"/>
      <c r="S723" s="98"/>
    </row>
    <row r="724">
      <c r="I724" s="98"/>
      <c r="N724" s="98"/>
      <c r="S724" s="98"/>
    </row>
    <row r="725">
      <c r="I725" s="98"/>
      <c r="N725" s="98"/>
      <c r="S725" s="98"/>
    </row>
    <row r="726">
      <c r="I726" s="98"/>
      <c r="N726" s="98"/>
      <c r="S726" s="98"/>
    </row>
    <row r="727">
      <c r="I727" s="98"/>
      <c r="N727" s="98"/>
      <c r="S727" s="98"/>
    </row>
    <row r="728">
      <c r="I728" s="98"/>
      <c r="N728" s="98"/>
      <c r="S728" s="98"/>
    </row>
    <row r="729">
      <c r="I729" s="98"/>
      <c r="N729" s="98"/>
      <c r="S729" s="98"/>
    </row>
    <row r="730">
      <c r="I730" s="98"/>
      <c r="N730" s="98"/>
      <c r="S730" s="98"/>
    </row>
    <row r="731">
      <c r="I731" s="98"/>
      <c r="N731" s="98"/>
      <c r="S731" s="98"/>
    </row>
    <row r="732">
      <c r="I732" s="98"/>
      <c r="N732" s="98"/>
      <c r="S732" s="98"/>
    </row>
    <row r="733">
      <c r="I733" s="98"/>
      <c r="N733" s="98"/>
      <c r="S733" s="98"/>
    </row>
    <row r="734">
      <c r="I734" s="98"/>
      <c r="N734" s="98"/>
      <c r="S734" s="98"/>
    </row>
    <row r="735">
      <c r="I735" s="98"/>
      <c r="N735" s="98"/>
      <c r="S735" s="98"/>
    </row>
    <row r="736">
      <c r="I736" s="98"/>
      <c r="N736" s="98"/>
      <c r="S736" s="98"/>
    </row>
    <row r="737">
      <c r="I737" s="98"/>
      <c r="N737" s="98"/>
      <c r="S737" s="98"/>
    </row>
    <row r="738">
      <c r="I738" s="98"/>
      <c r="N738" s="98"/>
      <c r="S738" s="98"/>
    </row>
    <row r="739">
      <c r="I739" s="98"/>
      <c r="N739" s="98"/>
      <c r="S739" s="98"/>
    </row>
    <row r="740">
      <c r="I740" s="98"/>
      <c r="N740" s="98"/>
      <c r="S740" s="98"/>
    </row>
    <row r="741">
      <c r="I741" s="98"/>
      <c r="N741" s="98"/>
      <c r="S741" s="98"/>
    </row>
    <row r="742">
      <c r="I742" s="98"/>
      <c r="N742" s="98"/>
      <c r="S742" s="98"/>
    </row>
    <row r="743">
      <c r="I743" s="98"/>
      <c r="N743" s="98"/>
      <c r="S743" s="98"/>
    </row>
    <row r="744">
      <c r="I744" s="98"/>
      <c r="N744" s="98"/>
      <c r="S744" s="98"/>
    </row>
    <row r="745">
      <c r="I745" s="98"/>
      <c r="N745" s="98"/>
      <c r="S745" s="98"/>
    </row>
    <row r="746">
      <c r="I746" s="98"/>
      <c r="N746" s="98"/>
      <c r="S746" s="98"/>
    </row>
    <row r="747">
      <c r="I747" s="98"/>
      <c r="N747" s="98"/>
      <c r="S747" s="98"/>
    </row>
    <row r="748">
      <c r="I748" s="98"/>
      <c r="N748" s="98"/>
      <c r="S748" s="98"/>
    </row>
    <row r="749">
      <c r="I749" s="98"/>
      <c r="N749" s="98"/>
      <c r="S749" s="98"/>
    </row>
    <row r="750">
      <c r="I750" s="98"/>
      <c r="N750" s="98"/>
      <c r="S750" s="98"/>
    </row>
    <row r="751">
      <c r="I751" s="98"/>
      <c r="N751" s="98"/>
      <c r="S751" s="98"/>
    </row>
    <row r="752">
      <c r="I752" s="98"/>
      <c r="N752" s="98"/>
      <c r="S752" s="98"/>
    </row>
    <row r="753">
      <c r="I753" s="98"/>
      <c r="N753" s="98"/>
      <c r="S753" s="98"/>
    </row>
    <row r="754">
      <c r="I754" s="98"/>
      <c r="N754" s="98"/>
      <c r="S754" s="98"/>
    </row>
    <row r="755">
      <c r="I755" s="98"/>
      <c r="N755" s="98"/>
      <c r="S755" s="98"/>
    </row>
    <row r="756">
      <c r="I756" s="98"/>
      <c r="N756" s="98"/>
      <c r="S756" s="98"/>
    </row>
    <row r="757">
      <c r="I757" s="98"/>
      <c r="N757" s="98"/>
      <c r="S757" s="98"/>
    </row>
    <row r="758">
      <c r="I758" s="98"/>
      <c r="N758" s="98"/>
      <c r="S758" s="98"/>
    </row>
    <row r="759">
      <c r="I759" s="98"/>
      <c r="N759" s="98"/>
      <c r="S759" s="98"/>
    </row>
    <row r="760">
      <c r="I760" s="98"/>
      <c r="N760" s="98"/>
      <c r="S760" s="98"/>
    </row>
    <row r="761">
      <c r="I761" s="98"/>
      <c r="N761" s="98"/>
      <c r="S761" s="98"/>
    </row>
    <row r="762">
      <c r="I762" s="98"/>
      <c r="N762" s="98"/>
      <c r="S762" s="98"/>
    </row>
    <row r="763">
      <c r="I763" s="98"/>
      <c r="N763" s="98"/>
      <c r="S763" s="98"/>
    </row>
    <row r="764">
      <c r="I764" s="98"/>
      <c r="N764" s="98"/>
      <c r="S764" s="98"/>
    </row>
    <row r="765">
      <c r="I765" s="98"/>
      <c r="N765" s="98"/>
      <c r="S765" s="98"/>
    </row>
    <row r="766">
      <c r="I766" s="98"/>
      <c r="N766" s="98"/>
      <c r="S766" s="98"/>
    </row>
    <row r="767">
      <c r="I767" s="98"/>
      <c r="N767" s="98"/>
      <c r="S767" s="98"/>
    </row>
    <row r="768">
      <c r="I768" s="98"/>
      <c r="N768" s="98"/>
      <c r="S768" s="98"/>
    </row>
    <row r="769">
      <c r="I769" s="98"/>
      <c r="N769" s="98"/>
      <c r="S769" s="98"/>
    </row>
    <row r="770">
      <c r="I770" s="98"/>
      <c r="N770" s="98"/>
      <c r="S770" s="98"/>
    </row>
    <row r="771">
      <c r="I771" s="98"/>
      <c r="N771" s="98"/>
      <c r="S771" s="98"/>
    </row>
    <row r="772">
      <c r="I772" s="98"/>
      <c r="N772" s="98"/>
      <c r="S772" s="98"/>
    </row>
    <row r="773">
      <c r="I773" s="98"/>
      <c r="N773" s="98"/>
      <c r="S773" s="98"/>
    </row>
    <row r="774">
      <c r="I774" s="98"/>
      <c r="N774" s="98"/>
      <c r="S774" s="98"/>
    </row>
    <row r="775">
      <c r="I775" s="98"/>
      <c r="N775" s="98"/>
      <c r="S775" s="98"/>
    </row>
    <row r="776">
      <c r="I776" s="98"/>
      <c r="N776" s="98"/>
      <c r="S776" s="98"/>
    </row>
    <row r="777">
      <c r="I777" s="98"/>
      <c r="N777" s="98"/>
      <c r="S777" s="98"/>
    </row>
    <row r="778">
      <c r="I778" s="98"/>
      <c r="N778" s="98"/>
      <c r="S778" s="98"/>
    </row>
    <row r="779">
      <c r="I779" s="98"/>
      <c r="N779" s="98"/>
      <c r="S779" s="98"/>
    </row>
    <row r="780">
      <c r="I780" s="98"/>
      <c r="N780" s="98"/>
      <c r="S780" s="98"/>
    </row>
    <row r="781">
      <c r="I781" s="98"/>
      <c r="N781" s="98"/>
      <c r="S781" s="98"/>
    </row>
    <row r="782">
      <c r="I782" s="98"/>
      <c r="N782" s="98"/>
      <c r="S782" s="98"/>
    </row>
    <row r="783">
      <c r="I783" s="98"/>
      <c r="N783" s="98"/>
      <c r="S783" s="98"/>
    </row>
    <row r="784">
      <c r="I784" s="98"/>
      <c r="N784" s="98"/>
      <c r="S784" s="98"/>
    </row>
    <row r="785">
      <c r="I785" s="98"/>
      <c r="N785" s="98"/>
      <c r="S785" s="98"/>
    </row>
    <row r="786">
      <c r="I786" s="98"/>
      <c r="N786" s="98"/>
      <c r="S786" s="98"/>
    </row>
    <row r="787">
      <c r="I787" s="98"/>
      <c r="N787" s="98"/>
      <c r="S787" s="98"/>
    </row>
    <row r="788">
      <c r="I788" s="98"/>
      <c r="N788" s="98"/>
      <c r="S788" s="98"/>
    </row>
    <row r="789">
      <c r="I789" s="98"/>
      <c r="N789" s="98"/>
      <c r="S789" s="98"/>
    </row>
    <row r="790">
      <c r="I790" s="98"/>
      <c r="N790" s="98"/>
      <c r="S790" s="98"/>
    </row>
    <row r="791">
      <c r="I791" s="98"/>
      <c r="N791" s="98"/>
      <c r="S791" s="98"/>
    </row>
    <row r="792">
      <c r="I792" s="98"/>
      <c r="N792" s="98"/>
      <c r="S792" s="98"/>
    </row>
    <row r="793">
      <c r="I793" s="98"/>
      <c r="N793" s="98"/>
      <c r="S793" s="98"/>
    </row>
    <row r="794">
      <c r="I794" s="98"/>
      <c r="N794" s="98"/>
      <c r="S794" s="98"/>
    </row>
    <row r="795">
      <c r="I795" s="98"/>
      <c r="N795" s="98"/>
      <c r="S795" s="98"/>
    </row>
    <row r="796">
      <c r="I796" s="98"/>
      <c r="N796" s="98"/>
      <c r="S796" s="98"/>
    </row>
    <row r="797">
      <c r="I797" s="98"/>
      <c r="N797" s="98"/>
      <c r="S797" s="98"/>
    </row>
    <row r="798">
      <c r="I798" s="98"/>
      <c r="N798" s="98"/>
      <c r="S798" s="98"/>
    </row>
    <row r="799">
      <c r="I799" s="98"/>
      <c r="N799" s="98"/>
      <c r="S799" s="98"/>
    </row>
    <row r="800">
      <c r="I800" s="98"/>
      <c r="N800" s="98"/>
      <c r="S800" s="98"/>
    </row>
    <row r="801">
      <c r="I801" s="98"/>
      <c r="N801" s="98"/>
      <c r="S801" s="98"/>
    </row>
    <row r="802">
      <c r="I802" s="98"/>
      <c r="N802" s="98"/>
      <c r="S802" s="98"/>
    </row>
    <row r="803">
      <c r="I803" s="98"/>
      <c r="N803" s="98"/>
      <c r="S803" s="98"/>
    </row>
    <row r="804">
      <c r="I804" s="98"/>
      <c r="N804" s="98"/>
      <c r="S804" s="98"/>
    </row>
    <row r="805">
      <c r="I805" s="98"/>
      <c r="N805" s="98"/>
      <c r="S805" s="98"/>
    </row>
    <row r="806">
      <c r="I806" s="98"/>
      <c r="N806" s="98"/>
      <c r="S806" s="98"/>
    </row>
    <row r="807">
      <c r="I807" s="98"/>
      <c r="N807" s="98"/>
      <c r="S807" s="98"/>
    </row>
    <row r="808">
      <c r="I808" s="98"/>
      <c r="N808" s="98"/>
      <c r="S808" s="98"/>
    </row>
    <row r="809">
      <c r="I809" s="98"/>
      <c r="N809" s="98"/>
      <c r="S809" s="98"/>
    </row>
    <row r="810">
      <c r="I810" s="98"/>
      <c r="N810" s="98"/>
      <c r="S810" s="98"/>
    </row>
    <row r="811">
      <c r="I811" s="98"/>
      <c r="N811" s="98"/>
      <c r="S811" s="98"/>
    </row>
    <row r="812">
      <c r="I812" s="98"/>
      <c r="N812" s="98"/>
      <c r="S812" s="98"/>
    </row>
    <row r="813">
      <c r="I813" s="98"/>
      <c r="N813" s="98"/>
      <c r="S813" s="98"/>
    </row>
    <row r="814">
      <c r="I814" s="98"/>
      <c r="N814" s="98"/>
      <c r="S814" s="98"/>
    </row>
    <row r="815">
      <c r="I815" s="98"/>
      <c r="N815" s="98"/>
      <c r="S815" s="98"/>
    </row>
    <row r="816">
      <c r="I816" s="98"/>
      <c r="N816" s="98"/>
      <c r="S816" s="98"/>
    </row>
    <row r="817">
      <c r="I817" s="98"/>
      <c r="N817" s="98"/>
      <c r="S817" s="98"/>
    </row>
    <row r="818">
      <c r="I818" s="98"/>
      <c r="N818" s="98"/>
      <c r="S818" s="98"/>
    </row>
    <row r="819">
      <c r="I819" s="98"/>
      <c r="N819" s="98"/>
      <c r="S819" s="98"/>
    </row>
    <row r="820">
      <c r="I820" s="98"/>
      <c r="N820" s="98"/>
      <c r="S820" s="98"/>
    </row>
    <row r="821">
      <c r="I821" s="98"/>
      <c r="N821" s="98"/>
      <c r="S821" s="98"/>
    </row>
    <row r="822">
      <c r="I822" s="98"/>
      <c r="N822" s="98"/>
      <c r="S822" s="98"/>
    </row>
    <row r="823">
      <c r="I823" s="98"/>
      <c r="N823" s="98"/>
      <c r="S823" s="98"/>
    </row>
    <row r="824">
      <c r="I824" s="98"/>
      <c r="N824" s="98"/>
      <c r="S824" s="98"/>
    </row>
    <row r="825">
      <c r="I825" s="98"/>
      <c r="N825" s="98"/>
      <c r="S825" s="98"/>
    </row>
    <row r="826">
      <c r="I826" s="98"/>
      <c r="N826" s="98"/>
      <c r="S826" s="98"/>
    </row>
    <row r="827">
      <c r="I827" s="98"/>
      <c r="N827" s="98"/>
      <c r="S827" s="98"/>
    </row>
    <row r="828">
      <c r="I828" s="98"/>
      <c r="N828" s="98"/>
      <c r="S828" s="98"/>
    </row>
    <row r="829">
      <c r="I829" s="98"/>
      <c r="N829" s="98"/>
      <c r="S829" s="98"/>
    </row>
    <row r="830">
      <c r="I830" s="98"/>
      <c r="N830" s="98"/>
      <c r="S830" s="98"/>
    </row>
    <row r="831">
      <c r="I831" s="98"/>
      <c r="N831" s="98"/>
      <c r="S831" s="98"/>
    </row>
    <row r="832">
      <c r="I832" s="98"/>
      <c r="N832" s="98"/>
      <c r="S832" s="98"/>
    </row>
    <row r="833">
      <c r="I833" s="98"/>
      <c r="N833" s="98"/>
      <c r="S833" s="98"/>
    </row>
    <row r="834">
      <c r="I834" s="98"/>
      <c r="N834" s="98"/>
      <c r="S834" s="98"/>
    </row>
    <row r="835">
      <c r="I835" s="98"/>
      <c r="N835" s="98"/>
      <c r="S835" s="98"/>
    </row>
    <row r="836">
      <c r="I836" s="98"/>
      <c r="N836" s="98"/>
      <c r="S836" s="98"/>
    </row>
    <row r="837">
      <c r="I837" s="98"/>
      <c r="N837" s="98"/>
      <c r="S837" s="98"/>
    </row>
    <row r="838">
      <c r="I838" s="98"/>
      <c r="N838" s="98"/>
      <c r="S838" s="98"/>
    </row>
    <row r="839">
      <c r="I839" s="98"/>
      <c r="N839" s="98"/>
      <c r="S839" s="98"/>
    </row>
    <row r="840">
      <c r="I840" s="98"/>
      <c r="N840" s="98"/>
      <c r="S840" s="98"/>
    </row>
    <row r="841">
      <c r="I841" s="98"/>
      <c r="N841" s="98"/>
      <c r="S841" s="98"/>
    </row>
    <row r="842">
      <c r="I842" s="98"/>
      <c r="N842" s="98"/>
      <c r="S842" s="98"/>
    </row>
    <row r="843">
      <c r="I843" s="98"/>
      <c r="N843" s="98"/>
      <c r="S843" s="98"/>
    </row>
    <row r="844">
      <c r="I844" s="98"/>
      <c r="N844" s="98"/>
      <c r="S844" s="98"/>
    </row>
    <row r="845">
      <c r="I845" s="98"/>
      <c r="N845" s="98"/>
      <c r="S845" s="98"/>
    </row>
    <row r="846">
      <c r="I846" s="98"/>
      <c r="N846" s="98"/>
      <c r="S846" s="98"/>
    </row>
    <row r="847">
      <c r="I847" s="98"/>
      <c r="N847" s="98"/>
      <c r="S847" s="98"/>
    </row>
    <row r="848">
      <c r="I848" s="98"/>
      <c r="N848" s="98"/>
      <c r="S848" s="98"/>
    </row>
    <row r="849">
      <c r="I849" s="98"/>
      <c r="N849" s="98"/>
      <c r="S849" s="98"/>
    </row>
    <row r="850">
      <c r="I850" s="98"/>
      <c r="N850" s="98"/>
      <c r="S850" s="98"/>
    </row>
    <row r="851">
      <c r="I851" s="98"/>
      <c r="N851" s="98"/>
      <c r="S851" s="98"/>
    </row>
    <row r="852">
      <c r="I852" s="98"/>
      <c r="N852" s="98"/>
      <c r="S852" s="98"/>
    </row>
    <row r="853">
      <c r="I853" s="98"/>
      <c r="N853" s="98"/>
      <c r="S853" s="98"/>
    </row>
    <row r="854">
      <c r="I854" s="98"/>
      <c r="N854" s="98"/>
      <c r="S854" s="98"/>
    </row>
    <row r="855">
      <c r="I855" s="98"/>
      <c r="N855" s="98"/>
      <c r="S855" s="98"/>
    </row>
    <row r="856">
      <c r="I856" s="98"/>
      <c r="N856" s="98"/>
      <c r="S856" s="98"/>
    </row>
    <row r="857">
      <c r="I857" s="98"/>
      <c r="N857" s="98"/>
      <c r="S857" s="98"/>
    </row>
    <row r="858">
      <c r="I858" s="98"/>
      <c r="N858" s="98"/>
      <c r="S858" s="98"/>
    </row>
    <row r="859">
      <c r="I859" s="98"/>
      <c r="N859" s="98"/>
      <c r="S859" s="98"/>
    </row>
    <row r="860">
      <c r="I860" s="98"/>
      <c r="N860" s="98"/>
      <c r="S860" s="98"/>
    </row>
    <row r="861">
      <c r="I861" s="98"/>
      <c r="N861" s="98"/>
      <c r="S861" s="98"/>
    </row>
    <row r="862">
      <c r="I862" s="98"/>
      <c r="N862" s="98"/>
      <c r="S862" s="98"/>
    </row>
    <row r="863">
      <c r="I863" s="98"/>
      <c r="N863" s="98"/>
      <c r="S863" s="98"/>
    </row>
    <row r="864">
      <c r="I864" s="98"/>
      <c r="N864" s="98"/>
      <c r="S864" s="98"/>
    </row>
    <row r="865">
      <c r="I865" s="98"/>
      <c r="N865" s="98"/>
      <c r="S865" s="98"/>
    </row>
    <row r="866">
      <c r="I866" s="98"/>
      <c r="N866" s="98"/>
      <c r="S866" s="98"/>
    </row>
    <row r="867">
      <c r="I867" s="98"/>
      <c r="N867" s="98"/>
      <c r="S867" s="98"/>
    </row>
    <row r="868">
      <c r="I868" s="98"/>
      <c r="N868" s="98"/>
      <c r="S868" s="98"/>
    </row>
    <row r="869">
      <c r="I869" s="98"/>
      <c r="N869" s="98"/>
      <c r="S869" s="98"/>
    </row>
    <row r="870">
      <c r="I870" s="98"/>
      <c r="N870" s="98"/>
      <c r="S870" s="98"/>
    </row>
    <row r="871">
      <c r="I871" s="98"/>
      <c r="N871" s="98"/>
      <c r="S871" s="98"/>
    </row>
    <row r="872">
      <c r="I872" s="98"/>
      <c r="N872" s="98"/>
      <c r="S872" s="98"/>
    </row>
    <row r="873">
      <c r="I873" s="98"/>
      <c r="N873" s="98"/>
      <c r="S873" s="98"/>
    </row>
    <row r="874">
      <c r="I874" s="98"/>
      <c r="N874" s="98"/>
      <c r="S874" s="98"/>
    </row>
    <row r="875">
      <c r="I875" s="98"/>
      <c r="N875" s="98"/>
      <c r="S875" s="98"/>
    </row>
    <row r="876">
      <c r="I876" s="98"/>
      <c r="N876" s="98"/>
      <c r="S876" s="98"/>
    </row>
    <row r="877">
      <c r="I877" s="98"/>
      <c r="N877" s="98"/>
      <c r="S877" s="98"/>
    </row>
    <row r="878">
      <c r="I878" s="98"/>
      <c r="N878" s="98"/>
      <c r="S878" s="98"/>
    </row>
    <row r="879">
      <c r="I879" s="98"/>
      <c r="N879" s="98"/>
      <c r="S879" s="98"/>
    </row>
    <row r="880">
      <c r="I880" s="98"/>
      <c r="N880" s="98"/>
      <c r="S880" s="98"/>
    </row>
    <row r="881">
      <c r="I881" s="98"/>
      <c r="N881" s="98"/>
      <c r="S881" s="98"/>
    </row>
    <row r="882">
      <c r="I882" s="98"/>
      <c r="N882" s="98"/>
      <c r="S882" s="98"/>
    </row>
    <row r="883">
      <c r="I883" s="98"/>
      <c r="N883" s="98"/>
      <c r="S883" s="98"/>
    </row>
    <row r="884">
      <c r="I884" s="98"/>
      <c r="N884" s="98"/>
      <c r="S884" s="98"/>
    </row>
    <row r="885">
      <c r="I885" s="98"/>
      <c r="N885" s="98"/>
      <c r="S885" s="98"/>
    </row>
    <row r="886">
      <c r="I886" s="98"/>
      <c r="N886" s="98"/>
      <c r="S886" s="98"/>
    </row>
    <row r="887">
      <c r="I887" s="98"/>
      <c r="N887" s="98"/>
      <c r="S887" s="98"/>
    </row>
    <row r="888">
      <c r="I888" s="98"/>
      <c r="N888" s="98"/>
      <c r="S888" s="98"/>
    </row>
    <row r="889">
      <c r="I889" s="98"/>
      <c r="N889" s="98"/>
      <c r="S889" s="98"/>
    </row>
    <row r="890">
      <c r="I890" s="98"/>
      <c r="N890" s="98"/>
      <c r="S890" s="98"/>
    </row>
    <row r="891">
      <c r="I891" s="98"/>
      <c r="N891" s="98"/>
      <c r="S891" s="98"/>
    </row>
    <row r="892">
      <c r="I892" s="98"/>
      <c r="N892" s="98"/>
      <c r="S892" s="98"/>
    </row>
    <row r="893">
      <c r="I893" s="98"/>
      <c r="N893" s="98"/>
      <c r="S893" s="98"/>
    </row>
    <row r="894">
      <c r="I894" s="98"/>
      <c r="N894" s="98"/>
      <c r="S894" s="98"/>
    </row>
    <row r="895">
      <c r="I895" s="98"/>
      <c r="N895" s="98"/>
      <c r="S895" s="98"/>
    </row>
    <row r="896">
      <c r="I896" s="98"/>
      <c r="N896" s="98"/>
      <c r="S896" s="98"/>
    </row>
    <row r="897">
      <c r="I897" s="98"/>
      <c r="N897" s="98"/>
      <c r="S897" s="98"/>
    </row>
    <row r="898">
      <c r="I898" s="98"/>
      <c r="N898" s="98"/>
      <c r="S898" s="98"/>
    </row>
    <row r="899">
      <c r="I899" s="98"/>
      <c r="N899" s="98"/>
      <c r="S899" s="98"/>
    </row>
    <row r="900">
      <c r="I900" s="98"/>
      <c r="N900" s="98"/>
      <c r="S900" s="98"/>
    </row>
    <row r="901">
      <c r="I901" s="98"/>
      <c r="N901" s="98"/>
      <c r="S901" s="98"/>
    </row>
    <row r="902">
      <c r="I902" s="98"/>
      <c r="N902" s="98"/>
      <c r="S902" s="98"/>
    </row>
    <row r="903">
      <c r="I903" s="98"/>
      <c r="N903" s="98"/>
      <c r="S903" s="98"/>
    </row>
    <row r="904">
      <c r="I904" s="98"/>
      <c r="N904" s="98"/>
      <c r="S904" s="98"/>
    </row>
    <row r="905">
      <c r="I905" s="98"/>
      <c r="N905" s="98"/>
      <c r="S905" s="98"/>
    </row>
    <row r="906">
      <c r="I906" s="98"/>
      <c r="N906" s="98"/>
      <c r="S906" s="98"/>
    </row>
    <row r="907">
      <c r="I907" s="98"/>
      <c r="N907" s="98"/>
      <c r="S907" s="98"/>
    </row>
    <row r="908">
      <c r="I908" s="98"/>
      <c r="N908" s="98"/>
      <c r="S908" s="98"/>
    </row>
    <row r="909">
      <c r="I909" s="98"/>
      <c r="N909" s="98"/>
      <c r="S909" s="98"/>
    </row>
    <row r="910">
      <c r="I910" s="98"/>
      <c r="N910" s="98"/>
      <c r="S910" s="98"/>
    </row>
    <row r="911">
      <c r="I911" s="98"/>
      <c r="N911" s="98"/>
      <c r="S911" s="98"/>
    </row>
    <row r="912">
      <c r="I912" s="98"/>
      <c r="N912" s="98"/>
      <c r="S912" s="98"/>
    </row>
    <row r="913">
      <c r="I913" s="98"/>
      <c r="N913" s="98"/>
      <c r="S913" s="98"/>
    </row>
    <row r="914">
      <c r="I914" s="98"/>
      <c r="N914" s="98"/>
      <c r="S914" s="98"/>
    </row>
    <row r="915">
      <c r="I915" s="98"/>
      <c r="N915" s="98"/>
      <c r="S915" s="98"/>
    </row>
    <row r="916">
      <c r="I916" s="98"/>
      <c r="N916" s="98"/>
      <c r="S916" s="98"/>
    </row>
    <row r="917">
      <c r="I917" s="98"/>
      <c r="N917" s="98"/>
      <c r="S917" s="98"/>
    </row>
    <row r="918">
      <c r="I918" s="98"/>
      <c r="N918" s="98"/>
      <c r="S918" s="98"/>
    </row>
    <row r="919">
      <c r="I919" s="98"/>
      <c r="N919" s="98"/>
      <c r="S919" s="98"/>
    </row>
    <row r="920">
      <c r="I920" s="98"/>
      <c r="N920" s="98"/>
      <c r="S920" s="98"/>
    </row>
    <row r="921">
      <c r="I921" s="98"/>
      <c r="N921" s="98"/>
      <c r="S921" s="98"/>
    </row>
    <row r="922">
      <c r="I922" s="98"/>
      <c r="N922" s="98"/>
      <c r="S922" s="98"/>
    </row>
    <row r="923">
      <c r="I923" s="98"/>
      <c r="N923" s="98"/>
      <c r="S923" s="98"/>
    </row>
    <row r="924">
      <c r="I924" s="98"/>
      <c r="N924" s="98"/>
      <c r="S924" s="98"/>
    </row>
    <row r="925">
      <c r="I925" s="98"/>
      <c r="N925" s="98"/>
      <c r="S925" s="98"/>
    </row>
    <row r="926">
      <c r="I926" s="98"/>
      <c r="N926" s="98"/>
      <c r="S926" s="98"/>
    </row>
    <row r="927">
      <c r="I927" s="98"/>
      <c r="N927" s="98"/>
      <c r="S927" s="98"/>
    </row>
    <row r="928">
      <c r="I928" s="98"/>
      <c r="N928" s="98"/>
      <c r="S928" s="98"/>
    </row>
    <row r="929">
      <c r="I929" s="98"/>
      <c r="N929" s="98"/>
      <c r="S929" s="98"/>
    </row>
    <row r="930">
      <c r="I930" s="98"/>
      <c r="N930" s="98"/>
      <c r="S930" s="98"/>
    </row>
    <row r="931">
      <c r="I931" s="98"/>
      <c r="N931" s="98"/>
      <c r="S931" s="98"/>
    </row>
    <row r="932">
      <c r="I932" s="98"/>
      <c r="N932" s="98"/>
      <c r="S932" s="98"/>
    </row>
    <row r="933">
      <c r="I933" s="98"/>
      <c r="N933" s="98"/>
      <c r="S933" s="98"/>
    </row>
    <row r="934">
      <c r="I934" s="98"/>
      <c r="N934" s="98"/>
      <c r="S934" s="98"/>
    </row>
    <row r="935">
      <c r="I935" s="98"/>
      <c r="N935" s="98"/>
      <c r="S935" s="98"/>
    </row>
    <row r="936">
      <c r="I936" s="98"/>
      <c r="N936" s="98"/>
      <c r="S936" s="98"/>
    </row>
    <row r="937">
      <c r="I937" s="98"/>
      <c r="N937" s="98"/>
      <c r="S937" s="98"/>
    </row>
    <row r="938">
      <c r="I938" s="98"/>
      <c r="N938" s="98"/>
      <c r="S938" s="98"/>
    </row>
    <row r="939">
      <c r="I939" s="98"/>
      <c r="N939" s="98"/>
      <c r="S939" s="98"/>
    </row>
    <row r="940">
      <c r="I940" s="98"/>
      <c r="N940" s="98"/>
      <c r="S940" s="98"/>
    </row>
    <row r="941">
      <c r="I941" s="98"/>
      <c r="N941" s="98"/>
      <c r="S941" s="98"/>
    </row>
    <row r="942">
      <c r="I942" s="98"/>
      <c r="N942" s="98"/>
      <c r="S942" s="98"/>
    </row>
    <row r="943">
      <c r="I943" s="98"/>
      <c r="N943" s="98"/>
      <c r="S943" s="98"/>
    </row>
    <row r="944">
      <c r="I944" s="98"/>
      <c r="N944" s="98"/>
      <c r="S944" s="98"/>
    </row>
    <row r="945">
      <c r="I945" s="98"/>
      <c r="N945" s="98"/>
      <c r="S945" s="98"/>
    </row>
    <row r="946">
      <c r="I946" s="98"/>
      <c r="N946" s="98"/>
      <c r="S946" s="98"/>
    </row>
    <row r="947">
      <c r="I947" s="98"/>
      <c r="N947" s="98"/>
      <c r="S947" s="98"/>
    </row>
    <row r="948">
      <c r="I948" s="98"/>
      <c r="N948" s="98"/>
      <c r="S948" s="98"/>
    </row>
    <row r="949">
      <c r="I949" s="98"/>
      <c r="N949" s="98"/>
      <c r="S949" s="98"/>
    </row>
    <row r="950">
      <c r="I950" s="98"/>
      <c r="N950" s="98"/>
      <c r="S950" s="98"/>
    </row>
    <row r="951">
      <c r="I951" s="98"/>
      <c r="N951" s="98"/>
      <c r="S951" s="98"/>
    </row>
    <row r="952">
      <c r="I952" s="98"/>
      <c r="N952" s="98"/>
      <c r="S952" s="98"/>
    </row>
    <row r="953">
      <c r="I953" s="98"/>
      <c r="N953" s="98"/>
      <c r="S953" s="98"/>
    </row>
    <row r="954">
      <c r="I954" s="98"/>
      <c r="N954" s="98"/>
      <c r="S954" s="98"/>
    </row>
    <row r="955">
      <c r="I955" s="98"/>
      <c r="N955" s="98"/>
      <c r="S955" s="98"/>
    </row>
    <row r="956">
      <c r="I956" s="98"/>
      <c r="N956" s="98"/>
      <c r="S956" s="98"/>
    </row>
    <row r="957">
      <c r="I957" s="98"/>
      <c r="N957" s="98"/>
      <c r="S957" s="98"/>
    </row>
    <row r="958">
      <c r="I958" s="98"/>
      <c r="N958" s="98"/>
      <c r="S958" s="98"/>
    </row>
    <row r="959">
      <c r="I959" s="98"/>
      <c r="N959" s="98"/>
      <c r="S959" s="98"/>
    </row>
    <row r="960">
      <c r="I960" s="98"/>
      <c r="N960" s="98"/>
      <c r="S960" s="98"/>
    </row>
    <row r="961">
      <c r="I961" s="98"/>
      <c r="N961" s="98"/>
      <c r="S961" s="98"/>
    </row>
    <row r="962">
      <c r="I962" s="98"/>
      <c r="N962" s="98"/>
      <c r="S962" s="98"/>
    </row>
    <row r="963">
      <c r="I963" s="98"/>
      <c r="N963" s="98"/>
      <c r="S963" s="98"/>
    </row>
    <row r="964">
      <c r="I964" s="98"/>
      <c r="N964" s="98"/>
      <c r="S964" s="98"/>
    </row>
    <row r="965">
      <c r="I965" s="98"/>
      <c r="N965" s="98"/>
      <c r="S965" s="98"/>
    </row>
    <row r="966">
      <c r="I966" s="98"/>
      <c r="N966" s="98"/>
      <c r="S966" s="98"/>
    </row>
    <row r="967">
      <c r="I967" s="98"/>
      <c r="N967" s="98"/>
      <c r="S967" s="98"/>
    </row>
    <row r="968">
      <c r="I968" s="98"/>
      <c r="N968" s="98"/>
      <c r="S968" s="98"/>
    </row>
    <row r="969">
      <c r="I969" s="98"/>
      <c r="N969" s="98"/>
      <c r="S969" s="98"/>
    </row>
    <row r="970">
      <c r="I970" s="98"/>
      <c r="N970" s="98"/>
      <c r="S970" s="98"/>
    </row>
    <row r="971">
      <c r="I971" s="98"/>
      <c r="N971" s="98"/>
      <c r="S971" s="98"/>
    </row>
    <row r="972">
      <c r="I972" s="98"/>
      <c r="N972" s="98"/>
      <c r="S972" s="98"/>
    </row>
    <row r="973">
      <c r="I973" s="98"/>
      <c r="N973" s="98"/>
      <c r="S973" s="98"/>
    </row>
    <row r="974">
      <c r="I974" s="98"/>
      <c r="N974" s="98"/>
      <c r="S974" s="98"/>
    </row>
    <row r="975">
      <c r="I975" s="98"/>
      <c r="N975" s="98"/>
      <c r="S975" s="98"/>
    </row>
    <row r="976">
      <c r="I976" s="98"/>
      <c r="N976" s="98"/>
      <c r="S976" s="98"/>
    </row>
    <row r="977">
      <c r="I977" s="98"/>
      <c r="N977" s="98"/>
      <c r="S977" s="98"/>
    </row>
    <row r="978">
      <c r="I978" s="98"/>
      <c r="N978" s="98"/>
      <c r="S978" s="98"/>
    </row>
    <row r="979">
      <c r="I979" s="98"/>
      <c r="N979" s="98"/>
      <c r="S979" s="98"/>
    </row>
    <row r="980">
      <c r="I980" s="98"/>
      <c r="N980" s="98"/>
      <c r="S980" s="98"/>
    </row>
    <row r="981">
      <c r="I981" s="98"/>
      <c r="N981" s="98"/>
      <c r="S981" s="98"/>
    </row>
    <row r="982">
      <c r="I982" s="98"/>
      <c r="N982" s="98"/>
      <c r="S982" s="98"/>
    </row>
    <row r="983">
      <c r="I983" s="98"/>
      <c r="N983" s="98"/>
      <c r="S983" s="98"/>
    </row>
    <row r="984">
      <c r="I984" s="98"/>
      <c r="N984" s="98"/>
      <c r="S984" s="98"/>
    </row>
    <row r="985">
      <c r="I985" s="98"/>
      <c r="N985" s="98"/>
      <c r="S985" s="98"/>
    </row>
    <row r="986">
      <c r="I986" s="98"/>
      <c r="N986" s="98"/>
      <c r="S986" s="98"/>
    </row>
    <row r="987">
      <c r="I987" s="98"/>
      <c r="N987" s="98"/>
      <c r="S987" s="98"/>
    </row>
    <row r="988">
      <c r="I988" s="98"/>
      <c r="N988" s="98"/>
      <c r="S988" s="98"/>
    </row>
    <row r="989">
      <c r="I989" s="98"/>
      <c r="N989" s="98"/>
      <c r="S989" s="98"/>
    </row>
    <row r="990">
      <c r="I990" s="98"/>
      <c r="N990" s="98"/>
      <c r="S990" s="98"/>
    </row>
    <row r="991">
      <c r="I991" s="98"/>
      <c r="N991" s="98"/>
      <c r="S991" s="98"/>
    </row>
    <row r="992">
      <c r="I992" s="98"/>
      <c r="N992" s="98"/>
      <c r="S992" s="98"/>
    </row>
    <row r="993">
      <c r="I993" s="98"/>
      <c r="N993" s="98"/>
      <c r="S993" s="98"/>
    </row>
    <row r="994">
      <c r="I994" s="98"/>
      <c r="N994" s="98"/>
      <c r="S994" s="98"/>
    </row>
    <row r="995">
      <c r="I995" s="98"/>
      <c r="N995" s="98"/>
      <c r="S995" s="98"/>
    </row>
    <row r="996">
      <c r="I996" s="98"/>
      <c r="N996" s="98"/>
      <c r="S996" s="98"/>
    </row>
    <row r="997">
      <c r="I997" s="98"/>
      <c r="N997" s="98"/>
      <c r="S997" s="98"/>
    </row>
    <row r="998">
      <c r="I998" s="98"/>
      <c r="N998" s="98"/>
      <c r="S998" s="98"/>
    </row>
    <row r="999">
      <c r="I999" s="98"/>
      <c r="N999" s="98"/>
      <c r="S999" s="98"/>
    </row>
    <row r="1000">
      <c r="I1000" s="98"/>
      <c r="N1000" s="98"/>
      <c r="S1000" s="98"/>
    </row>
  </sheetData>
  <dataValidations>
    <dataValidation type="list" allowBlank="1" showErrorMessage="1" sqref="D2:D100 G2:G100 L2:L100 Q2:Q100 V2:V100">
      <formula1>"Cash,Bank Transfer,N/A,Scholorship"</formula1>
    </dataValidation>
    <dataValidation type="list" allowBlank="1" showErrorMessage="1" sqref="B2:B100">
      <formula1>"15000,Admission Cancelled,Free of Charge ,Not Paid Yet"</formula1>
    </dataValidation>
    <dataValidation type="list" allowBlank="1" showErrorMessage="1" sqref="C2:C100 H2:H100 M2:M100 R2:R100 W2:W100">
      <formula1>"Issued,N/A"</formula1>
    </dataValidation>
    <dataValidation type="custom" allowBlank="1" showDropDown="1" sqref="I2:J80 I81:K81 E2:E100 I82:J100 N2:O100 S2:U100 X2:Z100">
      <formula1>OR(NOT(ISERROR(DATEVALUE(E2))), AND(ISNUMBER(E2), LEFT(CELL("format", E2))="D"))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5.75"/>
    <col customWidth="1" min="3" max="3" width="10.63"/>
    <col customWidth="1" min="4" max="4" width="17.63"/>
    <col customWidth="1" min="5" max="5" width="10.0"/>
    <col customWidth="1" min="6" max="6" width="10.75"/>
    <col customWidth="1" min="7" max="7" width="17.25"/>
    <col customWidth="1" min="8" max="8" width="13.25"/>
    <col customWidth="1" min="9" max="9" width="12.13"/>
    <col customWidth="1" min="10" max="10" width="17.38"/>
    <col customWidth="1" min="11" max="11" width="14.63"/>
    <col customWidth="1" min="12" max="12" width="13.5"/>
    <col customWidth="1" min="13" max="13" width="18.25"/>
    <col customWidth="1" min="14" max="14" width="16.63"/>
    <col customWidth="1" min="15" max="15" width="13.0"/>
    <col customWidth="1" min="16" max="16" width="15.38"/>
    <col customWidth="1" min="18" max="18" width="19.38"/>
    <col customWidth="1" min="19" max="19" width="14.38"/>
    <col customWidth="1" min="20" max="20" width="16.63"/>
    <col customWidth="1" min="21" max="21" width="13.5"/>
    <col customWidth="1" min="22" max="22" width="12.5"/>
    <col customWidth="1" min="23" max="23" width="16.63"/>
  </cols>
  <sheetData>
    <row r="1">
      <c r="A1" s="66" t="s">
        <v>326</v>
      </c>
      <c r="B1" s="1" t="s">
        <v>0</v>
      </c>
      <c r="C1" s="66" t="s">
        <v>327</v>
      </c>
      <c r="D1" s="1" t="s">
        <v>2</v>
      </c>
      <c r="E1" s="66" t="s">
        <v>224</v>
      </c>
      <c r="F1" s="66" t="s">
        <v>328</v>
      </c>
      <c r="G1" s="1"/>
      <c r="H1" s="66" t="s">
        <v>329</v>
      </c>
      <c r="I1" s="66" t="s">
        <v>327</v>
      </c>
      <c r="J1" s="66" t="s">
        <v>2</v>
      </c>
      <c r="K1" s="66" t="s">
        <v>224</v>
      </c>
      <c r="L1" s="66" t="s">
        <v>330</v>
      </c>
      <c r="M1" s="66" t="s">
        <v>331</v>
      </c>
      <c r="N1" s="1" t="s">
        <v>2</v>
      </c>
      <c r="O1" s="1" t="s">
        <v>1</v>
      </c>
      <c r="P1" s="66" t="s">
        <v>224</v>
      </c>
      <c r="Q1" s="66" t="s">
        <v>330</v>
      </c>
      <c r="R1" s="66" t="s">
        <v>332</v>
      </c>
      <c r="S1" s="66" t="s">
        <v>327</v>
      </c>
      <c r="T1" s="66" t="s">
        <v>2</v>
      </c>
      <c r="U1" s="66" t="s">
        <v>224</v>
      </c>
      <c r="V1" s="66" t="s">
        <v>330</v>
      </c>
      <c r="W1" s="66" t="s">
        <v>6</v>
      </c>
      <c r="X1" s="99" t="s">
        <v>7</v>
      </c>
      <c r="Y1" s="2"/>
      <c r="Z1" s="2"/>
      <c r="AA1" s="2"/>
      <c r="AB1" s="2"/>
      <c r="AC1" s="2"/>
      <c r="AD1" s="2"/>
    </row>
    <row r="2">
      <c r="A2" s="3" t="s">
        <v>333</v>
      </c>
      <c r="B2" s="4">
        <v>20000.0</v>
      </c>
      <c r="C2" s="4" t="s">
        <v>9</v>
      </c>
      <c r="D2" s="5" t="s">
        <v>12</v>
      </c>
      <c r="E2" s="67">
        <v>45969.0</v>
      </c>
      <c r="F2" s="6">
        <v>129.0</v>
      </c>
      <c r="G2" s="6" t="s">
        <v>334</v>
      </c>
      <c r="H2" s="6"/>
      <c r="I2" s="6"/>
      <c r="J2" s="5"/>
      <c r="K2" s="4"/>
      <c r="L2" s="5"/>
      <c r="M2" s="7"/>
      <c r="N2" s="7"/>
      <c r="O2" s="7"/>
      <c r="P2" s="4"/>
      <c r="Q2" s="5"/>
      <c r="R2" s="6"/>
      <c r="S2" s="7"/>
      <c r="T2" s="7"/>
      <c r="U2" s="7"/>
      <c r="V2" s="7"/>
      <c r="W2" s="30">
        <f t="shared" ref="W2:W99" si="1">60000- Sum(H2, M2, R2)</f>
        <v>60000</v>
      </c>
      <c r="X2" s="9" t="str">
        <f t="shared" ref="X2:X25" si="2">if(W2=0,"Paid", "Pending")</f>
        <v>Pending</v>
      </c>
    </row>
    <row r="3">
      <c r="A3" s="3" t="s">
        <v>335</v>
      </c>
      <c r="B3" s="4">
        <v>20000.0</v>
      </c>
      <c r="C3" s="4" t="s">
        <v>18</v>
      </c>
      <c r="D3" s="5" t="s">
        <v>12</v>
      </c>
      <c r="E3" s="67">
        <v>45970.0</v>
      </c>
      <c r="F3" s="6"/>
      <c r="G3" s="6" t="s">
        <v>336</v>
      </c>
      <c r="H3" s="6"/>
      <c r="I3" s="6"/>
      <c r="J3" s="5"/>
      <c r="K3" s="4"/>
      <c r="L3" s="5"/>
      <c r="M3" s="7"/>
      <c r="N3" s="7"/>
      <c r="O3" s="7"/>
      <c r="P3" s="4"/>
      <c r="Q3" s="5"/>
      <c r="R3" s="5"/>
      <c r="S3" s="7"/>
      <c r="T3" s="7"/>
      <c r="U3" s="7"/>
      <c r="V3" s="7"/>
      <c r="W3" s="30">
        <f t="shared" si="1"/>
        <v>60000</v>
      </c>
      <c r="X3" s="9" t="str">
        <f t="shared" si="2"/>
        <v>Pending</v>
      </c>
    </row>
    <row r="4">
      <c r="A4" s="31" t="s">
        <v>337</v>
      </c>
      <c r="B4" s="32">
        <v>20000.0</v>
      </c>
      <c r="C4" s="32" t="s">
        <v>18</v>
      </c>
      <c r="D4" s="33" t="s">
        <v>12</v>
      </c>
      <c r="E4" s="100">
        <v>45970.0</v>
      </c>
      <c r="F4" s="34"/>
      <c r="G4" s="34" t="s">
        <v>334</v>
      </c>
      <c r="H4" s="34">
        <v>20000.0</v>
      </c>
      <c r="I4" s="34"/>
      <c r="J4" s="33" t="s">
        <v>12</v>
      </c>
      <c r="K4" s="101">
        <v>46033.0</v>
      </c>
      <c r="L4" s="33">
        <v>206.0</v>
      </c>
      <c r="M4" s="34">
        <v>40000.0</v>
      </c>
      <c r="N4" s="33" t="s">
        <v>12</v>
      </c>
      <c r="O4" s="33" t="s">
        <v>18</v>
      </c>
      <c r="P4" s="101">
        <v>46047.0</v>
      </c>
      <c r="Q4" s="33"/>
      <c r="R4" s="33"/>
      <c r="S4" s="102"/>
      <c r="T4" s="102"/>
      <c r="U4" s="102"/>
      <c r="V4" s="102"/>
      <c r="W4" s="30">
        <f t="shared" si="1"/>
        <v>0</v>
      </c>
      <c r="X4" s="36" t="str">
        <f t="shared" si="2"/>
        <v>Paid</v>
      </c>
      <c r="Y4" s="103"/>
      <c r="Z4" s="103"/>
      <c r="AA4" s="103"/>
      <c r="AB4" s="103"/>
      <c r="AC4" s="103"/>
      <c r="AD4" s="103"/>
      <c r="AE4" s="103"/>
    </row>
    <row r="5">
      <c r="A5" s="104" t="s">
        <v>338</v>
      </c>
      <c r="B5" s="105">
        <v>20000.0</v>
      </c>
      <c r="C5" s="105" t="s">
        <v>18</v>
      </c>
      <c r="D5" s="106" t="s">
        <v>10</v>
      </c>
      <c r="E5" s="107">
        <v>45975.0</v>
      </c>
      <c r="F5" s="108"/>
      <c r="G5" s="108" t="s">
        <v>336</v>
      </c>
      <c r="H5" s="108"/>
      <c r="I5" s="108"/>
      <c r="J5" s="106"/>
      <c r="K5" s="109"/>
      <c r="L5" s="107"/>
      <c r="M5" s="108"/>
      <c r="N5" s="106"/>
      <c r="O5" s="106"/>
      <c r="P5" s="109"/>
      <c r="Q5" s="107"/>
      <c r="R5" s="107"/>
      <c r="S5" s="108"/>
      <c r="T5" s="108"/>
      <c r="U5" s="108"/>
      <c r="V5" s="108"/>
      <c r="W5" s="30">
        <f t="shared" si="1"/>
        <v>60000</v>
      </c>
      <c r="X5" s="110" t="str">
        <f t="shared" si="2"/>
        <v>Pending</v>
      </c>
      <c r="Y5" s="111"/>
      <c r="Z5" s="111"/>
      <c r="AA5" s="111"/>
      <c r="AB5" s="111"/>
      <c r="AC5" s="111"/>
      <c r="AD5" s="111"/>
      <c r="AE5" s="111"/>
    </row>
    <row r="6">
      <c r="A6" s="112" t="s">
        <v>339</v>
      </c>
      <c r="B6" s="113">
        <v>20000.0</v>
      </c>
      <c r="C6" s="114" t="s">
        <v>9</v>
      </c>
      <c r="D6" s="115" t="s">
        <v>10</v>
      </c>
      <c r="E6" s="116">
        <v>45968.0</v>
      </c>
      <c r="F6" s="117" t="s">
        <v>340</v>
      </c>
      <c r="G6" s="118" t="s">
        <v>341</v>
      </c>
      <c r="H6" s="118">
        <v>60000.0</v>
      </c>
      <c r="I6" s="118" t="s">
        <v>9</v>
      </c>
      <c r="J6" s="115" t="s">
        <v>12</v>
      </c>
      <c r="K6" s="119">
        <v>46005.0</v>
      </c>
      <c r="L6" s="115">
        <v>175.0</v>
      </c>
      <c r="M6" s="120"/>
      <c r="N6" s="120"/>
      <c r="O6" s="120"/>
      <c r="P6" s="114"/>
      <c r="Q6" s="115"/>
      <c r="R6" s="115"/>
      <c r="S6" s="120"/>
      <c r="T6" s="120"/>
      <c r="U6" s="120"/>
      <c r="V6" s="120"/>
      <c r="W6" s="30">
        <f t="shared" si="1"/>
        <v>0</v>
      </c>
      <c r="X6" s="121" t="str">
        <f t="shared" si="2"/>
        <v>Paid</v>
      </c>
      <c r="Y6" s="122"/>
      <c r="Z6" s="122"/>
      <c r="AA6" s="122"/>
      <c r="AB6" s="122"/>
      <c r="AC6" s="122"/>
      <c r="AD6" s="122"/>
      <c r="AE6" s="122"/>
    </row>
    <row r="7">
      <c r="A7" s="3" t="s">
        <v>342</v>
      </c>
      <c r="B7" s="83">
        <v>20000.0</v>
      </c>
      <c r="C7" s="4" t="s">
        <v>18</v>
      </c>
      <c r="D7" s="5" t="s">
        <v>10</v>
      </c>
      <c r="E7" s="67">
        <v>45977.0</v>
      </c>
      <c r="F7" s="6">
        <v>146.0</v>
      </c>
      <c r="G7" s="6" t="s">
        <v>336</v>
      </c>
      <c r="H7" s="6">
        <v>20000.0</v>
      </c>
      <c r="I7" s="6"/>
      <c r="J7" s="5" t="s">
        <v>12</v>
      </c>
      <c r="K7" s="68">
        <v>46033.0</v>
      </c>
      <c r="L7" s="5">
        <v>204.0</v>
      </c>
      <c r="M7" s="7"/>
      <c r="N7" s="7"/>
      <c r="O7" s="7"/>
      <c r="P7" s="4"/>
      <c r="Q7" s="5"/>
      <c r="R7" s="5"/>
      <c r="S7" s="7"/>
      <c r="T7" s="7"/>
      <c r="U7" s="7"/>
      <c r="V7" s="7"/>
      <c r="W7" s="30">
        <f t="shared" si="1"/>
        <v>40000</v>
      </c>
      <c r="X7" s="9" t="str">
        <f t="shared" si="2"/>
        <v>Pending</v>
      </c>
    </row>
    <row r="8">
      <c r="A8" s="123" t="s">
        <v>343</v>
      </c>
      <c r="B8" s="124">
        <v>20000.0</v>
      </c>
      <c r="C8" s="125" t="s">
        <v>18</v>
      </c>
      <c r="D8" s="126" t="s">
        <v>12</v>
      </c>
      <c r="E8" s="127">
        <v>45977.0</v>
      </c>
      <c r="F8" s="128">
        <v>141.0</v>
      </c>
      <c r="G8" s="128" t="s">
        <v>344</v>
      </c>
      <c r="H8" s="128">
        <v>20000.0</v>
      </c>
      <c r="I8" s="128" t="s">
        <v>18</v>
      </c>
      <c r="J8" s="126" t="s">
        <v>12</v>
      </c>
      <c r="K8" s="129">
        <v>46039.0</v>
      </c>
      <c r="L8" s="126">
        <v>210.0</v>
      </c>
      <c r="M8" s="128"/>
      <c r="N8" s="126"/>
      <c r="O8" s="126"/>
      <c r="P8" s="129"/>
      <c r="Q8" s="127"/>
      <c r="R8" s="127"/>
      <c r="S8" s="128"/>
      <c r="T8" s="128"/>
      <c r="U8" s="128"/>
      <c r="V8" s="128"/>
      <c r="W8" s="30">
        <f t="shared" si="1"/>
        <v>40000</v>
      </c>
      <c r="X8" s="130" t="str">
        <f t="shared" si="2"/>
        <v>Pending</v>
      </c>
      <c r="Y8" s="131"/>
      <c r="Z8" s="131"/>
      <c r="AA8" s="131"/>
      <c r="AB8" s="131"/>
      <c r="AC8" s="131"/>
      <c r="AD8" s="131"/>
      <c r="AE8" s="131"/>
    </row>
    <row r="9">
      <c r="A9" s="132" t="s">
        <v>345</v>
      </c>
      <c r="B9" s="133">
        <v>20000.0</v>
      </c>
      <c r="C9" s="134" t="s">
        <v>18</v>
      </c>
      <c r="D9" s="135" t="s">
        <v>12</v>
      </c>
      <c r="E9" s="136">
        <v>45977.0</v>
      </c>
      <c r="F9" s="137">
        <v>144.0</v>
      </c>
      <c r="G9" s="137" t="s">
        <v>341</v>
      </c>
      <c r="H9" s="137"/>
      <c r="I9" s="137"/>
      <c r="J9" s="135"/>
      <c r="K9" s="134"/>
      <c r="L9" s="135"/>
      <c r="M9" s="138"/>
      <c r="N9" s="138"/>
      <c r="O9" s="138"/>
      <c r="P9" s="134"/>
      <c r="Q9" s="135"/>
      <c r="R9" s="135"/>
      <c r="S9" s="138"/>
      <c r="T9" s="138"/>
      <c r="U9" s="138"/>
      <c r="V9" s="138"/>
      <c r="W9" s="30">
        <f t="shared" si="1"/>
        <v>60000</v>
      </c>
      <c r="X9" s="139" t="str">
        <f t="shared" si="2"/>
        <v>Pending</v>
      </c>
      <c r="Y9" s="140"/>
      <c r="Z9" s="140"/>
      <c r="AA9" s="140"/>
      <c r="AB9" s="140"/>
      <c r="AC9" s="140"/>
      <c r="AD9" s="140"/>
      <c r="AE9" s="140"/>
    </row>
    <row r="10">
      <c r="A10" s="123" t="s">
        <v>346</v>
      </c>
      <c r="B10" s="124">
        <v>15000.0</v>
      </c>
      <c r="C10" s="125" t="s">
        <v>18</v>
      </c>
      <c r="D10" s="126" t="s">
        <v>12</v>
      </c>
      <c r="E10" s="127">
        <v>45977.0</v>
      </c>
      <c r="F10" s="128">
        <v>142.0</v>
      </c>
      <c r="G10" s="128" t="s">
        <v>334</v>
      </c>
      <c r="H10" s="128"/>
      <c r="I10" s="128"/>
      <c r="J10" s="126"/>
      <c r="K10" s="125"/>
      <c r="L10" s="126"/>
      <c r="M10" s="141"/>
      <c r="N10" s="141"/>
      <c r="O10" s="141"/>
      <c r="P10" s="125"/>
      <c r="Q10" s="126"/>
      <c r="R10" s="126"/>
      <c r="S10" s="141"/>
      <c r="T10" s="141"/>
      <c r="U10" s="141"/>
      <c r="V10" s="141"/>
      <c r="W10" s="30">
        <f t="shared" si="1"/>
        <v>60000</v>
      </c>
      <c r="X10" s="130" t="str">
        <f t="shared" si="2"/>
        <v>Pending</v>
      </c>
      <c r="Y10" s="131"/>
      <c r="Z10" s="131"/>
      <c r="AA10" s="131"/>
      <c r="AB10" s="131"/>
      <c r="AC10" s="131"/>
      <c r="AD10" s="131"/>
      <c r="AE10" s="131"/>
    </row>
    <row r="11">
      <c r="A11" s="123" t="s">
        <v>347</v>
      </c>
      <c r="B11" s="124">
        <v>20000.0</v>
      </c>
      <c r="C11" s="125" t="s">
        <v>18</v>
      </c>
      <c r="D11" s="126" t="s">
        <v>10</v>
      </c>
      <c r="E11" s="127">
        <v>45977.0</v>
      </c>
      <c r="F11" s="128">
        <v>145.0</v>
      </c>
      <c r="G11" s="128" t="s">
        <v>348</v>
      </c>
      <c r="H11" s="128"/>
      <c r="I11" s="128"/>
      <c r="J11" s="126"/>
      <c r="K11" s="125"/>
      <c r="L11" s="126"/>
      <c r="M11" s="141"/>
      <c r="N11" s="141"/>
      <c r="O11" s="141"/>
      <c r="P11" s="125"/>
      <c r="Q11" s="126"/>
      <c r="R11" s="126"/>
      <c r="S11" s="141"/>
      <c r="T11" s="141"/>
      <c r="U11" s="141"/>
      <c r="V11" s="141"/>
      <c r="W11" s="30">
        <f t="shared" si="1"/>
        <v>60000</v>
      </c>
      <c r="X11" s="130" t="str">
        <f t="shared" si="2"/>
        <v>Pending</v>
      </c>
      <c r="Y11" s="131"/>
      <c r="Z11" s="131"/>
      <c r="AA11" s="131"/>
      <c r="AB11" s="131"/>
      <c r="AC11" s="131"/>
      <c r="AD11" s="131"/>
      <c r="AE11" s="131"/>
    </row>
    <row r="12">
      <c r="A12" s="142" t="s">
        <v>349</v>
      </c>
      <c r="B12" s="124">
        <v>20000.0</v>
      </c>
      <c r="C12" s="125" t="s">
        <v>9</v>
      </c>
      <c r="D12" s="126" t="s">
        <v>10</v>
      </c>
      <c r="E12" s="127">
        <v>45983.0</v>
      </c>
      <c r="F12" s="128">
        <v>150.0</v>
      </c>
      <c r="G12" s="128" t="s">
        <v>350</v>
      </c>
      <c r="H12" s="128" t="s">
        <v>351</v>
      </c>
      <c r="I12" s="128"/>
      <c r="J12" s="126"/>
      <c r="K12" s="125"/>
      <c r="L12" s="126"/>
      <c r="M12" s="141"/>
      <c r="N12" s="141"/>
      <c r="O12" s="141"/>
      <c r="P12" s="125"/>
      <c r="Q12" s="126"/>
      <c r="R12" s="126"/>
      <c r="S12" s="141"/>
      <c r="T12" s="141"/>
      <c r="U12" s="141"/>
      <c r="V12" s="141"/>
      <c r="W12" s="30">
        <f t="shared" si="1"/>
        <v>60000</v>
      </c>
      <c r="X12" s="130" t="str">
        <f t="shared" si="2"/>
        <v>Pending</v>
      </c>
      <c r="Y12" s="131"/>
      <c r="Z12" s="131"/>
      <c r="AA12" s="131"/>
      <c r="AB12" s="131"/>
      <c r="AC12" s="131"/>
      <c r="AD12" s="131"/>
      <c r="AE12" s="131"/>
    </row>
    <row r="13">
      <c r="A13" s="123" t="s">
        <v>352</v>
      </c>
      <c r="B13" s="124">
        <v>15000.0</v>
      </c>
      <c r="C13" s="125"/>
      <c r="D13" s="126" t="s">
        <v>12</v>
      </c>
      <c r="E13" s="127">
        <v>45984.0</v>
      </c>
      <c r="F13" s="128"/>
      <c r="G13" s="128" t="s">
        <v>348</v>
      </c>
      <c r="H13" s="128"/>
      <c r="I13" s="128"/>
      <c r="J13" s="126"/>
      <c r="K13" s="129"/>
      <c r="L13" s="127"/>
      <c r="M13" s="141"/>
      <c r="N13" s="141"/>
      <c r="O13" s="141"/>
      <c r="P13" s="125"/>
      <c r="Q13" s="126"/>
      <c r="R13" s="126"/>
      <c r="S13" s="141"/>
      <c r="T13" s="141"/>
      <c r="U13" s="141"/>
      <c r="V13" s="141"/>
      <c r="W13" s="30">
        <f t="shared" si="1"/>
        <v>60000</v>
      </c>
      <c r="X13" s="130" t="str">
        <f t="shared" si="2"/>
        <v>Pending</v>
      </c>
      <c r="Y13" s="131"/>
      <c r="Z13" s="131"/>
      <c r="AA13" s="131"/>
      <c r="AB13" s="131"/>
      <c r="AC13" s="131"/>
      <c r="AD13" s="131"/>
      <c r="AE13" s="131"/>
    </row>
    <row r="14">
      <c r="A14" s="132" t="s">
        <v>353</v>
      </c>
      <c r="B14" s="133">
        <v>20000.0</v>
      </c>
      <c r="C14" s="134" t="s">
        <v>18</v>
      </c>
      <c r="D14" s="135" t="s">
        <v>12</v>
      </c>
      <c r="E14" s="136">
        <v>45984.0</v>
      </c>
      <c r="F14" s="137">
        <v>154.0</v>
      </c>
      <c r="G14" s="137" t="s">
        <v>334</v>
      </c>
      <c r="H14" s="137">
        <v>20000.0</v>
      </c>
      <c r="I14" s="137"/>
      <c r="J14" s="135" t="s">
        <v>12</v>
      </c>
      <c r="K14" s="143">
        <v>46033.0</v>
      </c>
      <c r="L14" s="135">
        <v>205.0</v>
      </c>
      <c r="M14" s="137"/>
      <c r="N14" s="135"/>
      <c r="O14" s="135"/>
      <c r="P14" s="143"/>
      <c r="Q14" s="136"/>
      <c r="R14" s="136"/>
      <c r="S14" s="137"/>
      <c r="T14" s="137"/>
      <c r="U14" s="137"/>
      <c r="V14" s="137"/>
      <c r="W14" s="30">
        <f t="shared" si="1"/>
        <v>40000</v>
      </c>
      <c r="X14" s="139" t="str">
        <f t="shared" si="2"/>
        <v>Pending</v>
      </c>
      <c r="Y14" s="140"/>
      <c r="Z14" s="140"/>
      <c r="AA14" s="140"/>
      <c r="AB14" s="140"/>
      <c r="AC14" s="140"/>
      <c r="AD14" s="140"/>
      <c r="AE14" s="140"/>
    </row>
    <row r="15">
      <c r="A15" s="123" t="s">
        <v>354</v>
      </c>
      <c r="B15" s="124">
        <v>20000.0</v>
      </c>
      <c r="C15" s="125" t="s">
        <v>18</v>
      </c>
      <c r="D15" s="126" t="s">
        <v>12</v>
      </c>
      <c r="E15" s="127">
        <v>45984.0</v>
      </c>
      <c r="F15" s="144" t="s">
        <v>355</v>
      </c>
      <c r="G15" s="128" t="s">
        <v>341</v>
      </c>
      <c r="H15" s="128"/>
      <c r="I15" s="128"/>
      <c r="J15" s="126"/>
      <c r="K15" s="125"/>
      <c r="L15" s="126"/>
      <c r="M15" s="141"/>
      <c r="N15" s="141"/>
      <c r="O15" s="141"/>
      <c r="P15" s="125"/>
      <c r="Q15" s="126"/>
      <c r="R15" s="126"/>
      <c r="S15" s="141"/>
      <c r="T15" s="141"/>
      <c r="U15" s="141"/>
      <c r="V15" s="141"/>
      <c r="W15" s="30">
        <f t="shared" si="1"/>
        <v>60000</v>
      </c>
      <c r="X15" s="130" t="str">
        <f t="shared" si="2"/>
        <v>Pending</v>
      </c>
      <c r="Y15" s="131"/>
      <c r="Z15" s="131"/>
      <c r="AA15" s="131"/>
      <c r="AB15" s="131"/>
      <c r="AC15" s="131"/>
      <c r="AD15" s="131"/>
      <c r="AE15" s="131"/>
    </row>
    <row r="16">
      <c r="A16" s="3" t="s">
        <v>356</v>
      </c>
      <c r="B16" s="83">
        <v>20000.0</v>
      </c>
      <c r="C16" s="4" t="s">
        <v>9</v>
      </c>
      <c r="D16" s="5" t="s">
        <v>10</v>
      </c>
      <c r="E16" s="67">
        <v>45997.0</v>
      </c>
      <c r="F16" s="6">
        <v>159.0</v>
      </c>
      <c r="G16" s="6" t="s">
        <v>344</v>
      </c>
      <c r="H16" s="6"/>
      <c r="I16" s="6"/>
      <c r="J16" s="5"/>
      <c r="K16" s="4"/>
      <c r="L16" s="5"/>
      <c r="M16" s="6"/>
      <c r="N16" s="5"/>
      <c r="O16" s="5"/>
      <c r="P16" s="68"/>
      <c r="Q16" s="67"/>
      <c r="R16" s="67"/>
      <c r="S16" s="7"/>
      <c r="T16" s="7"/>
      <c r="U16" s="7"/>
      <c r="V16" s="7"/>
      <c r="W16" s="30">
        <f t="shared" si="1"/>
        <v>60000</v>
      </c>
      <c r="X16" s="9" t="str">
        <f t="shared" si="2"/>
        <v>Pending</v>
      </c>
    </row>
    <row r="17">
      <c r="A17" s="3" t="s">
        <v>357</v>
      </c>
      <c r="B17" s="83">
        <v>20000.0</v>
      </c>
      <c r="C17" s="4" t="s">
        <v>9</v>
      </c>
      <c r="D17" s="5" t="s">
        <v>10</v>
      </c>
      <c r="E17" s="67">
        <v>45997.0</v>
      </c>
      <c r="F17" s="6">
        <v>157.0</v>
      </c>
      <c r="G17" s="6" t="s">
        <v>350</v>
      </c>
      <c r="H17" s="6"/>
      <c r="I17" s="6"/>
      <c r="J17" s="5"/>
      <c r="K17" s="4"/>
      <c r="L17" s="5"/>
      <c r="M17" s="7"/>
      <c r="N17" s="7"/>
      <c r="O17" s="7"/>
      <c r="P17" s="4"/>
      <c r="Q17" s="5"/>
      <c r="R17" s="5"/>
      <c r="S17" s="7"/>
      <c r="T17" s="7"/>
      <c r="U17" s="7"/>
      <c r="V17" s="7"/>
      <c r="W17" s="30">
        <f t="shared" si="1"/>
        <v>60000</v>
      </c>
      <c r="X17" s="9" t="str">
        <f t="shared" si="2"/>
        <v>Pending</v>
      </c>
    </row>
    <row r="18">
      <c r="A18" s="3" t="s">
        <v>358</v>
      </c>
      <c r="B18" s="83">
        <v>20000.0</v>
      </c>
      <c r="C18" s="4" t="s">
        <v>9</v>
      </c>
      <c r="D18" s="5" t="s">
        <v>12</v>
      </c>
      <c r="E18" s="67">
        <v>45997.0</v>
      </c>
      <c r="F18" s="6">
        <v>158.0</v>
      </c>
      <c r="G18" s="6" t="s">
        <v>334</v>
      </c>
      <c r="H18" s="6"/>
      <c r="I18" s="6"/>
      <c r="J18" s="5"/>
      <c r="K18" s="4"/>
      <c r="L18" s="5"/>
      <c r="M18" s="7"/>
      <c r="N18" s="7"/>
      <c r="O18" s="7"/>
      <c r="P18" s="4"/>
      <c r="Q18" s="5"/>
      <c r="R18" s="5"/>
      <c r="S18" s="7"/>
      <c r="T18" s="7"/>
      <c r="U18" s="7"/>
      <c r="V18" s="7"/>
      <c r="W18" s="30">
        <f t="shared" si="1"/>
        <v>60000</v>
      </c>
      <c r="X18" s="9" t="str">
        <f t="shared" si="2"/>
        <v>Pending</v>
      </c>
    </row>
    <row r="19">
      <c r="A19" s="3" t="s">
        <v>359</v>
      </c>
      <c r="B19" s="83">
        <v>20000.0</v>
      </c>
      <c r="C19" s="4" t="s">
        <v>9</v>
      </c>
      <c r="D19" s="5" t="s">
        <v>12</v>
      </c>
      <c r="E19" s="67">
        <v>45983.0</v>
      </c>
      <c r="F19" s="6">
        <v>151.0</v>
      </c>
      <c r="G19" s="6" t="s">
        <v>341</v>
      </c>
      <c r="H19" s="6"/>
      <c r="I19" s="6"/>
      <c r="J19" s="5"/>
      <c r="K19" s="68"/>
      <c r="L19" s="67"/>
      <c r="M19" s="7"/>
      <c r="N19" s="7"/>
      <c r="O19" s="7"/>
      <c r="P19" s="4"/>
      <c r="Q19" s="5"/>
      <c r="R19" s="5"/>
      <c r="S19" s="7"/>
      <c r="T19" s="7"/>
      <c r="U19" s="7"/>
      <c r="V19" s="7"/>
      <c r="W19" s="30">
        <f t="shared" si="1"/>
        <v>60000</v>
      </c>
      <c r="X19" s="9" t="str">
        <f t="shared" si="2"/>
        <v>Pending</v>
      </c>
    </row>
    <row r="20">
      <c r="A20" s="3" t="s">
        <v>360</v>
      </c>
      <c r="B20" s="83">
        <v>20000.0</v>
      </c>
      <c r="C20" s="4" t="s">
        <v>9</v>
      </c>
      <c r="D20" s="5" t="s">
        <v>12</v>
      </c>
      <c r="E20" s="67">
        <v>45976.0</v>
      </c>
      <c r="F20" s="6">
        <v>134.0</v>
      </c>
      <c r="G20" s="6" t="s">
        <v>348</v>
      </c>
      <c r="H20" s="6"/>
      <c r="I20" s="6"/>
      <c r="J20" s="5"/>
      <c r="K20" s="68"/>
      <c r="L20" s="67"/>
      <c r="M20" s="7"/>
      <c r="N20" s="7"/>
      <c r="O20" s="7"/>
      <c r="P20" s="4"/>
      <c r="Q20" s="5"/>
      <c r="R20" s="5"/>
      <c r="S20" s="7"/>
      <c r="T20" s="7"/>
      <c r="U20" s="7"/>
      <c r="V20" s="7"/>
      <c r="W20" s="30">
        <f t="shared" si="1"/>
        <v>60000</v>
      </c>
      <c r="X20" s="9" t="str">
        <f t="shared" si="2"/>
        <v>Pending</v>
      </c>
    </row>
    <row r="21">
      <c r="A21" s="3" t="s">
        <v>361</v>
      </c>
      <c r="B21" s="83">
        <v>20000.0</v>
      </c>
      <c r="C21" s="4" t="s">
        <v>9</v>
      </c>
      <c r="D21" s="5" t="s">
        <v>10</v>
      </c>
      <c r="E21" s="67">
        <v>45976.0</v>
      </c>
      <c r="F21" s="5">
        <v>135.0</v>
      </c>
      <c r="G21" s="5" t="s">
        <v>336</v>
      </c>
      <c r="H21" s="7"/>
      <c r="I21" s="7"/>
      <c r="J21" s="7"/>
      <c r="K21" s="4"/>
      <c r="L21" s="5"/>
      <c r="M21" s="7"/>
      <c r="N21" s="7"/>
      <c r="O21" s="7"/>
      <c r="P21" s="4"/>
      <c r="Q21" s="5"/>
      <c r="R21" s="5"/>
      <c r="S21" s="7"/>
      <c r="T21" s="7"/>
      <c r="U21" s="7"/>
      <c r="V21" s="7"/>
      <c r="W21" s="7">
        <f t="shared" si="1"/>
        <v>60000</v>
      </c>
      <c r="X21" s="9" t="str">
        <f t="shared" si="2"/>
        <v>Pending</v>
      </c>
    </row>
    <row r="22">
      <c r="A22" s="3" t="s">
        <v>362</v>
      </c>
      <c r="B22" s="83">
        <v>20000.0</v>
      </c>
      <c r="C22" s="4" t="s">
        <v>9</v>
      </c>
      <c r="D22" s="5" t="s">
        <v>12</v>
      </c>
      <c r="E22" s="67">
        <v>45976.0</v>
      </c>
      <c r="F22" s="6">
        <v>136.0</v>
      </c>
      <c r="G22" s="6" t="s">
        <v>341</v>
      </c>
      <c r="H22" s="6"/>
      <c r="I22" s="6"/>
      <c r="J22" s="5"/>
      <c r="K22" s="68"/>
      <c r="L22" s="67"/>
      <c r="M22" s="6"/>
      <c r="N22" s="5"/>
      <c r="O22" s="5"/>
      <c r="P22" s="68"/>
      <c r="Q22" s="67"/>
      <c r="R22" s="67"/>
      <c r="S22" s="7"/>
      <c r="T22" s="7"/>
      <c r="U22" s="7"/>
      <c r="V22" s="7"/>
      <c r="W22" s="30">
        <f t="shared" si="1"/>
        <v>60000</v>
      </c>
      <c r="X22" s="9" t="str">
        <f t="shared" si="2"/>
        <v>Pending</v>
      </c>
    </row>
    <row r="23">
      <c r="A23" s="3" t="s">
        <v>363</v>
      </c>
      <c r="B23" s="83">
        <v>20000.0</v>
      </c>
      <c r="C23" s="4"/>
      <c r="D23" s="5" t="s">
        <v>12</v>
      </c>
      <c r="E23" s="67">
        <v>45998.0</v>
      </c>
      <c r="F23" s="6">
        <v>161.0</v>
      </c>
      <c r="G23" s="6" t="s">
        <v>341</v>
      </c>
      <c r="H23" s="6"/>
      <c r="I23" s="6"/>
      <c r="J23" s="5"/>
      <c r="K23" s="68"/>
      <c r="L23" s="67"/>
      <c r="M23" s="7"/>
      <c r="N23" s="7"/>
      <c r="O23" s="7"/>
      <c r="P23" s="4"/>
      <c r="Q23" s="5"/>
      <c r="R23" s="5"/>
      <c r="S23" s="7"/>
      <c r="T23" s="7"/>
      <c r="U23" s="7"/>
      <c r="V23" s="7"/>
      <c r="W23" s="30">
        <f t="shared" si="1"/>
        <v>60000</v>
      </c>
      <c r="X23" s="9" t="str">
        <f t="shared" si="2"/>
        <v>Pending</v>
      </c>
    </row>
    <row r="24">
      <c r="A24" s="3" t="s">
        <v>364</v>
      </c>
      <c r="B24" s="83">
        <v>20000.0</v>
      </c>
      <c r="C24" s="4"/>
      <c r="D24" s="5" t="s">
        <v>12</v>
      </c>
      <c r="E24" s="67">
        <v>45998.0</v>
      </c>
      <c r="F24" s="6">
        <v>162.0</v>
      </c>
      <c r="G24" s="6" t="s">
        <v>336</v>
      </c>
      <c r="H24" s="6"/>
      <c r="I24" s="6"/>
      <c r="J24" s="5"/>
      <c r="K24" s="4"/>
      <c r="L24" s="5"/>
      <c r="M24" s="7"/>
      <c r="N24" s="7"/>
      <c r="O24" s="7"/>
      <c r="P24" s="4"/>
      <c r="Q24" s="5"/>
      <c r="R24" s="5"/>
      <c r="S24" s="7"/>
      <c r="T24" s="7"/>
      <c r="U24" s="7"/>
      <c r="V24" s="7"/>
      <c r="W24" s="30">
        <f t="shared" si="1"/>
        <v>60000</v>
      </c>
      <c r="X24" s="9" t="str">
        <f t="shared" si="2"/>
        <v>Pending</v>
      </c>
    </row>
    <row r="25">
      <c r="A25" s="3" t="s">
        <v>365</v>
      </c>
      <c r="B25" s="83">
        <v>20000.0</v>
      </c>
      <c r="C25" s="4" t="s">
        <v>9</v>
      </c>
      <c r="D25" s="5" t="s">
        <v>12</v>
      </c>
      <c r="E25" s="67">
        <v>45998.0</v>
      </c>
      <c r="F25" s="6">
        <v>163.0</v>
      </c>
      <c r="G25" s="6" t="s">
        <v>350</v>
      </c>
      <c r="H25" s="6"/>
      <c r="I25" s="6"/>
      <c r="J25" s="5"/>
      <c r="K25" s="4"/>
      <c r="L25" s="5"/>
      <c r="M25" s="7"/>
      <c r="N25" s="7"/>
      <c r="O25" s="7"/>
      <c r="P25" s="4"/>
      <c r="Q25" s="5"/>
      <c r="R25" s="5"/>
      <c r="S25" s="7"/>
      <c r="T25" s="7"/>
      <c r="U25" s="7"/>
      <c r="V25" s="7"/>
      <c r="W25" s="30">
        <f t="shared" si="1"/>
        <v>60000</v>
      </c>
      <c r="X25" s="9" t="str">
        <f t="shared" si="2"/>
        <v>Pending</v>
      </c>
    </row>
    <row r="26">
      <c r="A26" s="3" t="s">
        <v>326</v>
      </c>
      <c r="B26" s="83" t="s">
        <v>366</v>
      </c>
      <c r="C26" s="4"/>
      <c r="D26" s="5"/>
      <c r="E26" s="67"/>
      <c r="F26" s="6"/>
      <c r="G26" s="6"/>
      <c r="H26" s="6"/>
      <c r="I26" s="6"/>
      <c r="J26" s="5"/>
      <c r="K26" s="4"/>
      <c r="L26" s="5"/>
      <c r="M26" s="7"/>
      <c r="N26" s="7"/>
      <c r="O26" s="7"/>
      <c r="P26" s="4"/>
      <c r="Q26" s="5"/>
      <c r="R26" s="5"/>
      <c r="S26" s="7"/>
      <c r="T26" s="7"/>
      <c r="U26" s="7"/>
      <c r="V26" s="7"/>
      <c r="W26" s="30">
        <f t="shared" si="1"/>
        <v>60000</v>
      </c>
      <c r="X26" s="9"/>
    </row>
    <row r="27">
      <c r="A27" s="3" t="s">
        <v>367</v>
      </c>
      <c r="B27" s="83">
        <v>20000.0</v>
      </c>
      <c r="C27" s="4" t="s">
        <v>9</v>
      </c>
      <c r="D27" s="5" t="s">
        <v>12</v>
      </c>
      <c r="E27" s="67">
        <v>45998.0</v>
      </c>
      <c r="F27" s="6">
        <v>164.0</v>
      </c>
      <c r="G27" s="6" t="s">
        <v>334</v>
      </c>
      <c r="H27" s="6"/>
      <c r="I27" s="6"/>
      <c r="J27" s="5"/>
      <c r="K27" s="4"/>
      <c r="L27" s="5"/>
      <c r="M27" s="7"/>
      <c r="N27" s="7"/>
      <c r="O27" s="7"/>
      <c r="P27" s="4"/>
      <c r="Q27" s="5"/>
      <c r="R27" s="5"/>
      <c r="S27" s="7"/>
      <c r="T27" s="7"/>
      <c r="U27" s="7"/>
      <c r="V27" s="7"/>
      <c r="W27" s="30">
        <f t="shared" si="1"/>
        <v>60000</v>
      </c>
      <c r="X27" s="9" t="str">
        <f t="shared" ref="X27:X99" si="3">if(W27=0,"Paid", "Pending")</f>
        <v>Pending</v>
      </c>
    </row>
    <row r="28">
      <c r="A28" s="3" t="s">
        <v>368</v>
      </c>
      <c r="B28" s="83">
        <v>20000.0</v>
      </c>
      <c r="C28" s="4"/>
      <c r="D28" s="5" t="s">
        <v>12</v>
      </c>
      <c r="E28" s="67">
        <v>45998.0</v>
      </c>
      <c r="F28" s="6">
        <v>165.0</v>
      </c>
      <c r="G28" s="6" t="s">
        <v>341</v>
      </c>
      <c r="H28" s="6"/>
      <c r="I28" s="6"/>
      <c r="J28" s="5"/>
      <c r="K28" s="4"/>
      <c r="L28" s="5"/>
      <c r="M28" s="7"/>
      <c r="N28" s="7"/>
      <c r="O28" s="7"/>
      <c r="P28" s="4"/>
      <c r="Q28" s="5"/>
      <c r="R28" s="5"/>
      <c r="S28" s="7"/>
      <c r="T28" s="7"/>
      <c r="U28" s="7"/>
      <c r="V28" s="7"/>
      <c r="W28" s="30">
        <f t="shared" si="1"/>
        <v>60000</v>
      </c>
      <c r="X28" s="9" t="str">
        <f t="shared" si="3"/>
        <v>Pending</v>
      </c>
    </row>
    <row r="29">
      <c r="A29" s="3" t="s">
        <v>369</v>
      </c>
      <c r="B29" s="83">
        <v>20000.0</v>
      </c>
      <c r="C29" s="4"/>
      <c r="D29" s="5" t="s">
        <v>10</v>
      </c>
      <c r="E29" s="67">
        <v>45998.0</v>
      </c>
      <c r="F29" s="6">
        <v>166.0</v>
      </c>
      <c r="G29" s="6" t="s">
        <v>341</v>
      </c>
      <c r="H29" s="6"/>
      <c r="I29" s="6"/>
      <c r="J29" s="5"/>
      <c r="K29" s="4"/>
      <c r="L29" s="5"/>
      <c r="M29" s="7"/>
      <c r="N29" s="7"/>
      <c r="O29" s="7"/>
      <c r="P29" s="4"/>
      <c r="Q29" s="5"/>
      <c r="R29" s="5"/>
      <c r="S29" s="7"/>
      <c r="T29" s="7"/>
      <c r="U29" s="7"/>
      <c r="V29" s="7"/>
      <c r="W29" s="30">
        <f t="shared" si="1"/>
        <v>60000</v>
      </c>
      <c r="X29" s="9" t="str">
        <f t="shared" si="3"/>
        <v>Pending</v>
      </c>
    </row>
    <row r="30">
      <c r="A30" s="3" t="s">
        <v>370</v>
      </c>
      <c r="B30" s="83">
        <v>20000.0</v>
      </c>
      <c r="C30" s="4"/>
      <c r="D30" s="5" t="s">
        <v>10</v>
      </c>
      <c r="E30" s="67">
        <v>45998.0</v>
      </c>
      <c r="F30" s="6">
        <v>167.0</v>
      </c>
      <c r="G30" s="6" t="s">
        <v>341</v>
      </c>
      <c r="H30" s="6"/>
      <c r="I30" s="6"/>
      <c r="J30" s="5"/>
      <c r="K30" s="4"/>
      <c r="L30" s="5"/>
      <c r="M30" s="7"/>
      <c r="N30" s="7"/>
      <c r="O30" s="7"/>
      <c r="P30" s="4"/>
      <c r="Q30" s="5"/>
      <c r="R30" s="5"/>
      <c r="S30" s="7"/>
      <c r="T30" s="7"/>
      <c r="U30" s="7"/>
      <c r="V30" s="7"/>
      <c r="W30" s="30">
        <f t="shared" si="1"/>
        <v>60000</v>
      </c>
      <c r="X30" s="9" t="str">
        <f t="shared" si="3"/>
        <v>Pending</v>
      </c>
    </row>
    <row r="31">
      <c r="A31" s="3" t="s">
        <v>371</v>
      </c>
      <c r="B31" s="4"/>
      <c r="C31" s="4"/>
      <c r="D31" s="5"/>
      <c r="E31" s="67"/>
      <c r="F31" s="6"/>
      <c r="G31" s="6" t="s">
        <v>334</v>
      </c>
      <c r="H31" s="6"/>
      <c r="I31" s="6"/>
      <c r="J31" s="5"/>
      <c r="K31" s="4"/>
      <c r="L31" s="5"/>
      <c r="M31" s="7"/>
      <c r="N31" s="7"/>
      <c r="O31" s="7"/>
      <c r="P31" s="4"/>
      <c r="Q31" s="5"/>
      <c r="R31" s="5"/>
      <c r="S31" s="7"/>
      <c r="T31" s="7"/>
      <c r="U31" s="7"/>
      <c r="V31" s="7"/>
      <c r="W31" s="30">
        <f t="shared" si="1"/>
        <v>60000</v>
      </c>
      <c r="X31" s="9" t="str">
        <f t="shared" si="3"/>
        <v>Pending</v>
      </c>
    </row>
    <row r="32">
      <c r="A32" s="104" t="s">
        <v>372</v>
      </c>
      <c r="B32" s="145">
        <v>20000.0</v>
      </c>
      <c r="C32" s="105"/>
      <c r="D32" s="106" t="s">
        <v>10</v>
      </c>
      <c r="E32" s="107"/>
      <c r="F32" s="108" t="s">
        <v>373</v>
      </c>
      <c r="G32" s="108" t="s">
        <v>350</v>
      </c>
      <c r="H32" s="108"/>
      <c r="I32" s="108"/>
      <c r="J32" s="106"/>
      <c r="K32" s="105"/>
      <c r="L32" s="106"/>
      <c r="M32" s="146"/>
      <c r="N32" s="146"/>
      <c r="O32" s="146"/>
      <c r="P32" s="105"/>
      <c r="Q32" s="106"/>
      <c r="R32" s="106"/>
      <c r="S32" s="146"/>
      <c r="T32" s="146"/>
      <c r="U32" s="146"/>
      <c r="V32" s="146"/>
      <c r="W32" s="30">
        <f t="shared" si="1"/>
        <v>60000</v>
      </c>
      <c r="X32" s="110" t="str">
        <f t="shared" si="3"/>
        <v>Pending</v>
      </c>
      <c r="Y32" s="111"/>
      <c r="Z32" s="111"/>
      <c r="AA32" s="111"/>
      <c r="AB32" s="111"/>
      <c r="AC32" s="111"/>
      <c r="AD32" s="111"/>
      <c r="AE32" s="111"/>
    </row>
    <row r="33">
      <c r="A33" s="3" t="s">
        <v>374</v>
      </c>
      <c r="B33" s="83">
        <v>20000.0</v>
      </c>
      <c r="C33" s="4" t="s">
        <v>9</v>
      </c>
      <c r="D33" s="5" t="s">
        <v>12</v>
      </c>
      <c r="E33" s="67">
        <v>46004.0</v>
      </c>
      <c r="F33" s="6"/>
      <c r="G33" s="6" t="s">
        <v>344</v>
      </c>
      <c r="H33" s="6"/>
      <c r="I33" s="6"/>
      <c r="J33" s="5"/>
      <c r="K33" s="68"/>
      <c r="L33" s="67"/>
      <c r="M33" s="7"/>
      <c r="N33" s="7"/>
      <c r="O33" s="7"/>
      <c r="P33" s="4"/>
      <c r="Q33" s="5"/>
      <c r="R33" s="5"/>
      <c r="S33" s="7"/>
      <c r="T33" s="7"/>
      <c r="U33" s="7"/>
      <c r="V33" s="7"/>
      <c r="W33" s="30">
        <f t="shared" si="1"/>
        <v>60000</v>
      </c>
      <c r="X33" s="9" t="str">
        <f t="shared" si="3"/>
        <v>Pending</v>
      </c>
    </row>
    <row r="34">
      <c r="A34" s="3" t="s">
        <v>375</v>
      </c>
      <c r="B34" s="83">
        <v>20000.0</v>
      </c>
      <c r="C34" s="4" t="s">
        <v>9</v>
      </c>
      <c r="D34" s="5" t="s">
        <v>12</v>
      </c>
      <c r="E34" s="67">
        <v>46004.0</v>
      </c>
      <c r="F34" s="6"/>
      <c r="G34" s="6" t="s">
        <v>344</v>
      </c>
      <c r="H34" s="6"/>
      <c r="I34" s="6"/>
      <c r="J34" s="5"/>
      <c r="K34" s="68"/>
      <c r="L34" s="67"/>
      <c r="M34" s="6"/>
      <c r="N34" s="5"/>
      <c r="O34" s="5"/>
      <c r="P34" s="68"/>
      <c r="Q34" s="67"/>
      <c r="R34" s="67"/>
      <c r="S34" s="147"/>
      <c r="T34" s="147"/>
      <c r="U34" s="147"/>
      <c r="V34" s="147"/>
      <c r="W34" s="30">
        <f t="shared" si="1"/>
        <v>60000</v>
      </c>
      <c r="X34" s="9" t="str">
        <f t="shared" si="3"/>
        <v>Pending</v>
      </c>
    </row>
    <row r="35">
      <c r="A35" s="3" t="s">
        <v>376</v>
      </c>
      <c r="B35" s="83">
        <v>20000.0</v>
      </c>
      <c r="C35" s="4" t="s">
        <v>9</v>
      </c>
      <c r="D35" s="5" t="s">
        <v>12</v>
      </c>
      <c r="E35" s="67">
        <v>46005.0</v>
      </c>
      <c r="F35" s="6">
        <v>179.0</v>
      </c>
      <c r="G35" s="6" t="s">
        <v>334</v>
      </c>
      <c r="H35" s="6"/>
      <c r="I35" s="6"/>
      <c r="J35" s="5"/>
      <c r="K35" s="68"/>
      <c r="L35" s="67"/>
      <c r="M35" s="6"/>
      <c r="N35" s="5"/>
      <c r="O35" s="5"/>
      <c r="P35" s="68"/>
      <c r="Q35" s="67"/>
      <c r="R35" s="67"/>
      <c r="S35" s="7"/>
      <c r="T35" s="7"/>
      <c r="U35" s="7"/>
      <c r="V35" s="7"/>
      <c r="W35" s="30">
        <f t="shared" si="1"/>
        <v>60000</v>
      </c>
      <c r="X35" s="9" t="str">
        <f t="shared" si="3"/>
        <v>Pending</v>
      </c>
    </row>
    <row r="36">
      <c r="A36" s="3" t="s">
        <v>377</v>
      </c>
      <c r="B36" s="83">
        <v>20000.0</v>
      </c>
      <c r="C36" s="4" t="s">
        <v>9</v>
      </c>
      <c r="D36" s="5" t="s">
        <v>12</v>
      </c>
      <c r="E36" s="67">
        <v>46005.0</v>
      </c>
      <c r="F36" s="6">
        <v>178.0</v>
      </c>
      <c r="G36" s="6" t="s">
        <v>341</v>
      </c>
      <c r="H36" s="6"/>
      <c r="I36" s="6"/>
      <c r="J36" s="5"/>
      <c r="K36" s="68"/>
      <c r="L36" s="67"/>
      <c r="M36" s="7"/>
      <c r="N36" s="7"/>
      <c r="O36" s="7"/>
      <c r="P36" s="4"/>
      <c r="Q36" s="5"/>
      <c r="R36" s="5"/>
      <c r="S36" s="7"/>
      <c r="T36" s="7"/>
      <c r="U36" s="7"/>
      <c r="V36" s="7"/>
      <c r="W36" s="30">
        <f t="shared" si="1"/>
        <v>60000</v>
      </c>
      <c r="X36" s="9" t="str">
        <f t="shared" si="3"/>
        <v>Pending</v>
      </c>
    </row>
    <row r="37">
      <c r="A37" s="3" t="s">
        <v>378</v>
      </c>
      <c r="B37" s="83">
        <v>20000.0</v>
      </c>
      <c r="C37" s="4"/>
      <c r="D37" s="5" t="s">
        <v>10</v>
      </c>
      <c r="E37" s="67">
        <v>46005.0</v>
      </c>
      <c r="F37" s="6">
        <v>177.0</v>
      </c>
      <c r="G37" s="6" t="s">
        <v>336</v>
      </c>
      <c r="H37" s="6"/>
      <c r="I37" s="6"/>
      <c r="J37" s="5"/>
      <c r="K37" s="68"/>
      <c r="L37" s="67"/>
      <c r="M37" s="7"/>
      <c r="N37" s="7"/>
      <c r="O37" s="7"/>
      <c r="P37" s="4"/>
      <c r="Q37" s="5"/>
      <c r="R37" s="5"/>
      <c r="S37" s="7"/>
      <c r="T37" s="7"/>
      <c r="U37" s="7"/>
      <c r="V37" s="7"/>
      <c r="W37" s="30">
        <f t="shared" si="1"/>
        <v>60000</v>
      </c>
      <c r="X37" s="9" t="str">
        <f t="shared" si="3"/>
        <v>Pending</v>
      </c>
    </row>
    <row r="38">
      <c r="A38" s="3" t="s">
        <v>379</v>
      </c>
      <c r="B38" s="83">
        <v>20000.0</v>
      </c>
      <c r="C38" s="4"/>
      <c r="D38" s="5" t="s">
        <v>12</v>
      </c>
      <c r="E38" s="67">
        <v>46012.0</v>
      </c>
      <c r="F38" s="6"/>
      <c r="G38" s="6" t="s">
        <v>336</v>
      </c>
      <c r="H38" s="6"/>
      <c r="I38" s="6"/>
      <c r="J38" s="5"/>
      <c r="K38" s="68"/>
      <c r="L38" s="67"/>
      <c r="M38" s="7"/>
      <c r="N38" s="7"/>
      <c r="O38" s="7"/>
      <c r="P38" s="4"/>
      <c r="Q38" s="5"/>
      <c r="R38" s="5"/>
      <c r="S38" s="7"/>
      <c r="T38" s="7"/>
      <c r="U38" s="7"/>
      <c r="V38" s="7"/>
      <c r="W38" s="30">
        <f t="shared" si="1"/>
        <v>60000</v>
      </c>
      <c r="X38" s="9" t="str">
        <f t="shared" si="3"/>
        <v>Pending</v>
      </c>
    </row>
    <row r="39">
      <c r="A39" s="3" t="s">
        <v>380</v>
      </c>
      <c r="B39" s="83">
        <v>20000.0</v>
      </c>
      <c r="C39" s="4"/>
      <c r="D39" s="5" t="s">
        <v>12</v>
      </c>
      <c r="E39" s="67">
        <v>45661.0</v>
      </c>
      <c r="F39" s="6"/>
      <c r="G39" s="6" t="s">
        <v>350</v>
      </c>
      <c r="H39" s="6"/>
      <c r="I39" s="6"/>
      <c r="J39" s="5"/>
      <c r="K39" s="68"/>
      <c r="L39" s="67"/>
      <c r="M39" s="6"/>
      <c r="N39" s="5"/>
      <c r="O39" s="5"/>
      <c r="P39" s="68"/>
      <c r="Q39" s="67"/>
      <c r="R39" s="67"/>
      <c r="S39" s="6"/>
      <c r="T39" s="6"/>
      <c r="U39" s="6"/>
      <c r="V39" s="6"/>
      <c r="W39" s="30">
        <f t="shared" si="1"/>
        <v>60000</v>
      </c>
      <c r="X39" s="9" t="str">
        <f t="shared" si="3"/>
        <v>Pending</v>
      </c>
    </row>
    <row r="40">
      <c r="A40" s="3" t="s">
        <v>381</v>
      </c>
      <c r="B40" s="83">
        <v>20000.0</v>
      </c>
      <c r="C40" s="4"/>
      <c r="D40" s="5" t="s">
        <v>12</v>
      </c>
      <c r="E40" s="67">
        <v>45661.0</v>
      </c>
      <c r="F40" s="6"/>
      <c r="G40" s="6" t="s">
        <v>334</v>
      </c>
      <c r="H40" s="6"/>
      <c r="I40" s="6"/>
      <c r="J40" s="5"/>
      <c r="K40" s="68"/>
      <c r="L40" s="67"/>
      <c r="M40" s="5"/>
      <c r="N40" s="5"/>
      <c r="O40" s="5"/>
      <c r="P40" s="4"/>
      <c r="Q40" s="5"/>
      <c r="R40" s="5"/>
      <c r="S40" s="7"/>
      <c r="T40" s="7"/>
      <c r="U40" s="7"/>
      <c r="V40" s="7"/>
      <c r="W40" s="30">
        <f t="shared" si="1"/>
        <v>60000</v>
      </c>
      <c r="X40" s="9" t="str">
        <f t="shared" si="3"/>
        <v>Pending</v>
      </c>
    </row>
    <row r="41">
      <c r="A41" s="3" t="s">
        <v>382</v>
      </c>
      <c r="B41" s="83">
        <v>20000.0</v>
      </c>
      <c r="C41" s="4" t="s">
        <v>9</v>
      </c>
      <c r="D41" s="5" t="s">
        <v>10</v>
      </c>
      <c r="E41" s="67">
        <v>46032.0</v>
      </c>
      <c r="F41" s="6">
        <v>197.0</v>
      </c>
      <c r="G41" s="6"/>
      <c r="H41" s="6"/>
      <c r="I41" s="6"/>
      <c r="J41" s="5"/>
      <c r="K41" s="68"/>
      <c r="L41" s="67"/>
      <c r="M41" s="6"/>
      <c r="N41" s="5"/>
      <c r="O41" s="5"/>
      <c r="P41" s="68"/>
      <c r="Q41" s="67"/>
      <c r="R41" s="67"/>
      <c r="S41" s="7"/>
      <c r="T41" s="7"/>
      <c r="U41" s="7"/>
      <c r="V41" s="7"/>
      <c r="W41" s="30">
        <f t="shared" si="1"/>
        <v>60000</v>
      </c>
      <c r="X41" s="9" t="str">
        <f t="shared" si="3"/>
        <v>Pending</v>
      </c>
    </row>
    <row r="42">
      <c r="A42" s="3" t="s">
        <v>383</v>
      </c>
      <c r="B42" s="83">
        <v>20000.0</v>
      </c>
      <c r="C42" s="4" t="s">
        <v>9</v>
      </c>
      <c r="D42" s="5" t="s">
        <v>12</v>
      </c>
      <c r="E42" s="67">
        <v>46032.0</v>
      </c>
      <c r="F42" s="6">
        <v>199.0</v>
      </c>
      <c r="G42" s="6"/>
      <c r="H42" s="6"/>
      <c r="I42" s="6"/>
      <c r="J42" s="5"/>
      <c r="K42" s="4"/>
      <c r="L42" s="5"/>
      <c r="M42" s="7"/>
      <c r="N42" s="7"/>
      <c r="O42" s="7"/>
      <c r="P42" s="4"/>
      <c r="Q42" s="5"/>
      <c r="R42" s="5"/>
      <c r="S42" s="7"/>
      <c r="T42" s="7"/>
      <c r="U42" s="7"/>
      <c r="V42" s="7"/>
      <c r="W42" s="30">
        <f t="shared" si="1"/>
        <v>60000</v>
      </c>
      <c r="X42" s="9" t="str">
        <f t="shared" si="3"/>
        <v>Pending</v>
      </c>
    </row>
    <row r="43">
      <c r="A43" s="3" t="s">
        <v>384</v>
      </c>
      <c r="B43" s="83">
        <v>20000.0</v>
      </c>
      <c r="C43" s="4" t="s">
        <v>9</v>
      </c>
      <c r="D43" s="5" t="s">
        <v>12</v>
      </c>
      <c r="E43" s="67">
        <v>46032.0</v>
      </c>
      <c r="F43" s="6">
        <v>200.0</v>
      </c>
      <c r="G43" s="6"/>
      <c r="H43" s="6"/>
      <c r="I43" s="6"/>
      <c r="J43" s="5"/>
      <c r="K43" s="68"/>
      <c r="L43" s="67"/>
      <c r="M43" s="6"/>
      <c r="N43" s="5"/>
      <c r="O43" s="5"/>
      <c r="P43" s="68"/>
      <c r="Q43" s="67"/>
      <c r="R43" s="67"/>
      <c r="S43" s="7"/>
      <c r="T43" s="7"/>
      <c r="U43" s="7"/>
      <c r="V43" s="7"/>
      <c r="W43" s="30">
        <f t="shared" si="1"/>
        <v>60000</v>
      </c>
      <c r="X43" s="9" t="str">
        <f t="shared" si="3"/>
        <v>Pending</v>
      </c>
    </row>
    <row r="44">
      <c r="A44" s="3" t="s">
        <v>385</v>
      </c>
      <c r="B44" s="83">
        <v>20000.0</v>
      </c>
      <c r="C44" s="4" t="s">
        <v>9</v>
      </c>
      <c r="D44" s="5" t="s">
        <v>10</v>
      </c>
      <c r="E44" s="67">
        <v>46030.0</v>
      </c>
      <c r="F44" s="6">
        <v>198.0</v>
      </c>
      <c r="G44" s="6"/>
      <c r="H44" s="6"/>
      <c r="I44" s="6"/>
      <c r="J44" s="5"/>
      <c r="K44" s="68"/>
      <c r="L44" s="67"/>
      <c r="M44" s="7"/>
      <c r="N44" s="7"/>
      <c r="O44" s="7"/>
      <c r="P44" s="4"/>
      <c r="Q44" s="5"/>
      <c r="R44" s="5"/>
      <c r="S44" s="7"/>
      <c r="T44" s="7"/>
      <c r="U44" s="7"/>
      <c r="V44" s="7"/>
      <c r="W44" s="30">
        <f t="shared" si="1"/>
        <v>60000</v>
      </c>
      <c r="X44" s="9" t="str">
        <f t="shared" si="3"/>
        <v>Pending</v>
      </c>
    </row>
    <row r="45">
      <c r="A45" s="3" t="s">
        <v>386</v>
      </c>
      <c r="B45" s="83">
        <v>20000.0</v>
      </c>
      <c r="C45" s="4"/>
      <c r="D45" s="5" t="s">
        <v>10</v>
      </c>
      <c r="E45" s="67">
        <v>46025.0</v>
      </c>
      <c r="F45" s="6">
        <v>202.0</v>
      </c>
      <c r="G45" s="6"/>
      <c r="H45" s="6"/>
      <c r="I45" s="6"/>
      <c r="J45" s="5"/>
      <c r="K45" s="4"/>
      <c r="L45" s="5"/>
      <c r="M45" s="7"/>
      <c r="N45" s="7"/>
      <c r="O45" s="7"/>
      <c r="P45" s="4"/>
      <c r="Q45" s="5"/>
      <c r="R45" s="5"/>
      <c r="S45" s="7"/>
      <c r="T45" s="7"/>
      <c r="U45" s="7"/>
      <c r="V45" s="7"/>
      <c r="W45" s="30">
        <f t="shared" si="1"/>
        <v>60000</v>
      </c>
      <c r="X45" s="9" t="str">
        <f t="shared" si="3"/>
        <v>Pending</v>
      </c>
    </row>
    <row r="46">
      <c r="A46" s="3" t="s">
        <v>387</v>
      </c>
      <c r="B46" s="83">
        <v>20000.0</v>
      </c>
      <c r="C46" s="4"/>
      <c r="D46" s="5" t="s">
        <v>12</v>
      </c>
      <c r="E46" s="67">
        <v>46033.0</v>
      </c>
      <c r="F46" s="6">
        <v>203.0</v>
      </c>
      <c r="G46" s="6"/>
      <c r="H46" s="6"/>
      <c r="I46" s="6"/>
      <c r="J46" s="5"/>
      <c r="K46" s="4"/>
      <c r="L46" s="5"/>
      <c r="M46" s="7"/>
      <c r="N46" s="7"/>
      <c r="O46" s="7"/>
      <c r="P46" s="4"/>
      <c r="Q46" s="5"/>
      <c r="R46" s="5"/>
      <c r="S46" s="7"/>
      <c r="T46" s="7"/>
      <c r="U46" s="7"/>
      <c r="V46" s="7"/>
      <c r="W46" s="30">
        <f t="shared" si="1"/>
        <v>60000</v>
      </c>
      <c r="X46" s="9" t="str">
        <f t="shared" si="3"/>
        <v>Pending</v>
      </c>
    </row>
    <row r="47">
      <c r="A47" s="3" t="s">
        <v>388</v>
      </c>
      <c r="B47" s="83">
        <v>20000.0</v>
      </c>
      <c r="C47" s="4" t="s">
        <v>18</v>
      </c>
      <c r="D47" s="5" t="s">
        <v>12</v>
      </c>
      <c r="E47" s="67">
        <v>46033.0</v>
      </c>
      <c r="F47" s="6">
        <v>204.0</v>
      </c>
      <c r="G47" s="6"/>
      <c r="H47" s="6"/>
      <c r="I47" s="6"/>
      <c r="J47" s="5"/>
      <c r="K47" s="68"/>
      <c r="L47" s="67"/>
      <c r="M47" s="5"/>
      <c r="N47" s="7"/>
      <c r="O47" s="7"/>
      <c r="P47" s="4"/>
      <c r="Q47" s="5"/>
      <c r="R47" s="5"/>
      <c r="S47" s="7"/>
      <c r="T47" s="7"/>
      <c r="U47" s="7"/>
      <c r="V47" s="7"/>
      <c r="W47" s="30">
        <f t="shared" si="1"/>
        <v>60000</v>
      </c>
      <c r="X47" s="9" t="str">
        <f t="shared" si="3"/>
        <v>Pending</v>
      </c>
    </row>
    <row r="48">
      <c r="A48" s="3" t="s">
        <v>389</v>
      </c>
      <c r="B48" s="4"/>
      <c r="C48" s="4"/>
      <c r="D48" s="5"/>
      <c r="E48" s="67"/>
      <c r="F48" s="6"/>
      <c r="G48" s="6"/>
      <c r="H48" s="6"/>
      <c r="I48" s="6"/>
      <c r="J48" s="5"/>
      <c r="K48" s="68"/>
      <c r="L48" s="67"/>
      <c r="M48" s="7"/>
      <c r="N48" s="7"/>
      <c r="O48" s="7"/>
      <c r="P48" s="4"/>
      <c r="Q48" s="5"/>
      <c r="R48" s="5"/>
      <c r="S48" s="7"/>
      <c r="T48" s="7"/>
      <c r="U48" s="7"/>
      <c r="V48" s="7"/>
      <c r="W48" s="30">
        <f t="shared" si="1"/>
        <v>60000</v>
      </c>
      <c r="X48" s="9" t="str">
        <f t="shared" si="3"/>
        <v>Pending</v>
      </c>
    </row>
    <row r="49">
      <c r="A49" s="3"/>
      <c r="B49" s="4"/>
      <c r="C49" s="4"/>
      <c r="D49" s="5"/>
      <c r="E49" s="67"/>
      <c r="F49" s="6"/>
      <c r="G49" s="6"/>
      <c r="H49" s="6"/>
      <c r="I49" s="6"/>
      <c r="J49" s="5"/>
      <c r="K49" s="68"/>
      <c r="L49" s="67"/>
      <c r="M49" s="7"/>
      <c r="N49" s="7"/>
      <c r="O49" s="7"/>
      <c r="P49" s="4"/>
      <c r="Q49" s="5"/>
      <c r="R49" s="5"/>
      <c r="S49" s="7"/>
      <c r="T49" s="7"/>
      <c r="U49" s="7"/>
      <c r="V49" s="7"/>
      <c r="W49" s="30">
        <f t="shared" si="1"/>
        <v>60000</v>
      </c>
      <c r="X49" s="9" t="str">
        <f t="shared" si="3"/>
        <v>Pending</v>
      </c>
    </row>
    <row r="50">
      <c r="A50" s="3"/>
      <c r="B50" s="4"/>
      <c r="C50" s="4"/>
      <c r="D50" s="5"/>
      <c r="E50" s="67"/>
      <c r="F50" s="6"/>
      <c r="G50" s="6"/>
      <c r="H50" s="6"/>
      <c r="I50" s="6"/>
      <c r="J50" s="5"/>
      <c r="K50" s="68"/>
      <c r="L50" s="67"/>
      <c r="M50" s="7"/>
      <c r="N50" s="7"/>
      <c r="O50" s="7"/>
      <c r="P50" s="4"/>
      <c r="Q50" s="5"/>
      <c r="R50" s="5"/>
      <c r="S50" s="7"/>
      <c r="T50" s="7"/>
      <c r="U50" s="7"/>
      <c r="V50" s="7"/>
      <c r="W50" s="30">
        <f t="shared" si="1"/>
        <v>60000</v>
      </c>
      <c r="X50" s="9" t="str">
        <f t="shared" si="3"/>
        <v>Pending</v>
      </c>
    </row>
    <row r="51">
      <c r="A51" s="3"/>
      <c r="B51" s="4"/>
      <c r="C51" s="4"/>
      <c r="D51" s="5"/>
      <c r="E51" s="67"/>
      <c r="F51" s="6"/>
      <c r="G51" s="6"/>
      <c r="H51" s="6"/>
      <c r="I51" s="6"/>
      <c r="J51" s="5"/>
      <c r="K51" s="68"/>
      <c r="L51" s="67"/>
      <c r="M51" s="7"/>
      <c r="N51" s="7"/>
      <c r="O51" s="7"/>
      <c r="P51" s="4"/>
      <c r="Q51" s="5"/>
      <c r="R51" s="5"/>
      <c r="S51" s="7"/>
      <c r="T51" s="7"/>
      <c r="U51" s="7"/>
      <c r="V51" s="7"/>
      <c r="W51" s="30">
        <f t="shared" si="1"/>
        <v>60000</v>
      </c>
      <c r="X51" s="9" t="str">
        <f t="shared" si="3"/>
        <v>Pending</v>
      </c>
    </row>
    <row r="52">
      <c r="A52" s="3"/>
      <c r="B52" s="4"/>
      <c r="C52" s="4"/>
      <c r="D52" s="5"/>
      <c r="E52" s="67"/>
      <c r="F52" s="6"/>
      <c r="G52" s="6"/>
      <c r="H52" s="6"/>
      <c r="I52" s="6"/>
      <c r="J52" s="5"/>
      <c r="K52" s="68"/>
      <c r="L52" s="67"/>
      <c r="M52" s="6"/>
      <c r="N52" s="5"/>
      <c r="O52" s="5"/>
      <c r="P52" s="68"/>
      <c r="Q52" s="67"/>
      <c r="R52" s="67"/>
      <c r="S52" s="6"/>
      <c r="T52" s="6"/>
      <c r="U52" s="6"/>
      <c r="V52" s="6"/>
      <c r="W52" s="30">
        <f t="shared" si="1"/>
        <v>60000</v>
      </c>
      <c r="X52" s="9" t="str">
        <f t="shared" si="3"/>
        <v>Pending</v>
      </c>
    </row>
    <row r="53">
      <c r="A53" s="3"/>
      <c r="B53" s="4"/>
      <c r="C53" s="4"/>
      <c r="D53" s="5"/>
      <c r="E53" s="67"/>
      <c r="F53" s="6"/>
      <c r="G53" s="6"/>
      <c r="H53" s="6"/>
      <c r="I53" s="6"/>
      <c r="J53" s="5"/>
      <c r="K53" s="4"/>
      <c r="L53" s="5"/>
      <c r="M53" s="7"/>
      <c r="N53" s="7"/>
      <c r="O53" s="7"/>
      <c r="P53" s="4"/>
      <c r="Q53" s="5"/>
      <c r="R53" s="5"/>
      <c r="S53" s="7"/>
      <c r="T53" s="7"/>
      <c r="U53" s="7"/>
      <c r="V53" s="7"/>
      <c r="W53" s="30">
        <f t="shared" si="1"/>
        <v>60000</v>
      </c>
      <c r="X53" s="9" t="str">
        <f t="shared" si="3"/>
        <v>Pending</v>
      </c>
    </row>
    <row r="54">
      <c r="A54" s="3"/>
      <c r="B54" s="4"/>
      <c r="C54" s="4"/>
      <c r="D54" s="5"/>
      <c r="E54" s="67"/>
      <c r="F54" s="6"/>
      <c r="G54" s="6"/>
      <c r="H54" s="6"/>
      <c r="I54" s="6"/>
      <c r="J54" s="5"/>
      <c r="K54" s="4"/>
      <c r="L54" s="5"/>
      <c r="M54" s="7"/>
      <c r="N54" s="7"/>
      <c r="O54" s="7"/>
      <c r="P54" s="4"/>
      <c r="Q54" s="5"/>
      <c r="R54" s="5"/>
      <c r="S54" s="7"/>
      <c r="T54" s="7"/>
      <c r="U54" s="7"/>
      <c r="V54" s="7"/>
      <c r="W54" s="30">
        <f t="shared" si="1"/>
        <v>60000</v>
      </c>
      <c r="X54" s="9" t="str">
        <f t="shared" si="3"/>
        <v>Pending</v>
      </c>
    </row>
    <row r="55">
      <c r="A55" s="3"/>
      <c r="B55" s="4"/>
      <c r="C55" s="4"/>
      <c r="D55" s="5"/>
      <c r="E55" s="67"/>
      <c r="F55" s="6"/>
      <c r="G55" s="6"/>
      <c r="H55" s="6"/>
      <c r="I55" s="6"/>
      <c r="J55" s="5"/>
      <c r="K55" s="4"/>
      <c r="L55" s="5"/>
      <c r="M55" s="7"/>
      <c r="N55" s="7"/>
      <c r="O55" s="7"/>
      <c r="P55" s="4"/>
      <c r="Q55" s="5"/>
      <c r="R55" s="5"/>
      <c r="S55" s="7"/>
      <c r="T55" s="7"/>
      <c r="U55" s="7"/>
      <c r="V55" s="7"/>
      <c r="W55" s="30">
        <f t="shared" si="1"/>
        <v>60000</v>
      </c>
      <c r="X55" s="9" t="str">
        <f t="shared" si="3"/>
        <v>Pending</v>
      </c>
    </row>
    <row r="56">
      <c r="A56" s="3"/>
      <c r="B56" s="4"/>
      <c r="C56" s="4"/>
      <c r="D56" s="5"/>
      <c r="E56" s="67"/>
      <c r="F56" s="6"/>
      <c r="G56" s="6"/>
      <c r="H56" s="6"/>
      <c r="I56" s="6"/>
      <c r="J56" s="5"/>
      <c r="K56" s="4"/>
      <c r="L56" s="5"/>
      <c r="M56" s="6"/>
      <c r="N56" s="5"/>
      <c r="O56" s="5"/>
      <c r="P56" s="68"/>
      <c r="Q56" s="67"/>
      <c r="R56" s="67"/>
      <c r="S56" s="7"/>
      <c r="T56" s="7"/>
      <c r="U56" s="7"/>
      <c r="V56" s="7"/>
      <c r="W56" s="30">
        <f t="shared" si="1"/>
        <v>60000</v>
      </c>
      <c r="X56" s="9" t="str">
        <f t="shared" si="3"/>
        <v>Pending</v>
      </c>
    </row>
    <row r="57">
      <c r="A57" s="3"/>
      <c r="B57" s="4"/>
      <c r="C57" s="4"/>
      <c r="D57" s="5"/>
      <c r="E57" s="67"/>
      <c r="F57" s="6"/>
      <c r="G57" s="6"/>
      <c r="H57" s="6"/>
      <c r="I57" s="6"/>
      <c r="J57" s="5"/>
      <c r="K57" s="4"/>
      <c r="L57" s="5"/>
      <c r="M57" s="7"/>
      <c r="N57" s="7"/>
      <c r="O57" s="7"/>
      <c r="P57" s="4"/>
      <c r="Q57" s="5"/>
      <c r="R57" s="5"/>
      <c r="S57" s="7"/>
      <c r="T57" s="7"/>
      <c r="U57" s="7"/>
      <c r="V57" s="7"/>
      <c r="W57" s="30">
        <f t="shared" si="1"/>
        <v>60000</v>
      </c>
      <c r="X57" s="9" t="str">
        <f t="shared" si="3"/>
        <v>Pending</v>
      </c>
    </row>
    <row r="58">
      <c r="A58" s="3"/>
      <c r="B58" s="4"/>
      <c r="C58" s="4"/>
      <c r="D58" s="5"/>
      <c r="E58" s="67"/>
      <c r="F58" s="6"/>
      <c r="G58" s="6"/>
      <c r="H58" s="6"/>
      <c r="I58" s="6"/>
      <c r="J58" s="5"/>
      <c r="K58" s="4"/>
      <c r="L58" s="5"/>
      <c r="M58" s="7"/>
      <c r="N58" s="7"/>
      <c r="O58" s="7"/>
      <c r="P58" s="4"/>
      <c r="Q58" s="5"/>
      <c r="R58" s="5"/>
      <c r="S58" s="7"/>
      <c r="T58" s="7"/>
      <c r="U58" s="7"/>
      <c r="V58" s="7"/>
      <c r="W58" s="30">
        <f t="shared" si="1"/>
        <v>60000</v>
      </c>
      <c r="X58" s="9" t="str">
        <f t="shared" si="3"/>
        <v>Pending</v>
      </c>
    </row>
    <row r="59">
      <c r="A59" s="3"/>
      <c r="B59" s="4"/>
      <c r="C59" s="4"/>
      <c r="D59" s="5"/>
      <c r="E59" s="67"/>
      <c r="F59" s="6"/>
      <c r="G59" s="6"/>
      <c r="H59" s="6"/>
      <c r="I59" s="6"/>
      <c r="J59" s="5"/>
      <c r="K59" s="4"/>
      <c r="L59" s="5"/>
      <c r="M59" s="7"/>
      <c r="N59" s="7"/>
      <c r="O59" s="7"/>
      <c r="P59" s="4"/>
      <c r="Q59" s="5"/>
      <c r="R59" s="5"/>
      <c r="S59" s="7"/>
      <c r="T59" s="7"/>
      <c r="U59" s="7"/>
      <c r="V59" s="7"/>
      <c r="W59" s="30">
        <f t="shared" si="1"/>
        <v>60000</v>
      </c>
      <c r="X59" s="9" t="str">
        <f t="shared" si="3"/>
        <v>Pending</v>
      </c>
    </row>
    <row r="60">
      <c r="A60" s="3"/>
      <c r="B60" s="4"/>
      <c r="C60" s="4"/>
      <c r="D60" s="5"/>
      <c r="E60" s="67"/>
      <c r="F60" s="6"/>
      <c r="G60" s="6"/>
      <c r="H60" s="6"/>
      <c r="I60" s="6"/>
      <c r="J60" s="5"/>
      <c r="K60" s="4"/>
      <c r="L60" s="5"/>
      <c r="M60" s="7"/>
      <c r="N60" s="7"/>
      <c r="O60" s="7"/>
      <c r="P60" s="4"/>
      <c r="Q60" s="5"/>
      <c r="R60" s="5"/>
      <c r="S60" s="7"/>
      <c r="T60" s="7"/>
      <c r="U60" s="7"/>
      <c r="V60" s="7"/>
      <c r="W60" s="30">
        <f t="shared" si="1"/>
        <v>60000</v>
      </c>
      <c r="X60" s="9" t="str">
        <f t="shared" si="3"/>
        <v>Pending</v>
      </c>
    </row>
    <row r="61">
      <c r="A61" s="3"/>
      <c r="B61" s="4"/>
      <c r="C61" s="4"/>
      <c r="D61" s="5"/>
      <c r="E61" s="67"/>
      <c r="F61" s="6"/>
      <c r="G61" s="6"/>
      <c r="H61" s="6"/>
      <c r="I61" s="6"/>
      <c r="J61" s="5"/>
      <c r="K61" s="68"/>
      <c r="L61" s="67"/>
      <c r="M61" s="7"/>
      <c r="N61" s="7"/>
      <c r="O61" s="7"/>
      <c r="P61" s="4"/>
      <c r="Q61" s="5"/>
      <c r="R61" s="5"/>
      <c r="S61" s="7"/>
      <c r="T61" s="7"/>
      <c r="U61" s="7"/>
      <c r="V61" s="7"/>
      <c r="W61" s="30">
        <f t="shared" si="1"/>
        <v>60000</v>
      </c>
      <c r="X61" s="9" t="str">
        <f t="shared" si="3"/>
        <v>Pending</v>
      </c>
    </row>
    <row r="62">
      <c r="A62" s="3"/>
      <c r="B62" s="4"/>
      <c r="C62" s="4"/>
      <c r="D62" s="5"/>
      <c r="E62" s="67"/>
      <c r="F62" s="88"/>
      <c r="G62" s="88"/>
      <c r="H62" s="88"/>
      <c r="I62" s="88"/>
      <c r="J62" s="148"/>
      <c r="K62" s="68"/>
      <c r="L62" s="149"/>
      <c r="M62" s="7"/>
      <c r="N62" s="7"/>
      <c r="O62" s="7"/>
      <c r="P62" s="4"/>
      <c r="Q62" s="5"/>
      <c r="R62" s="5"/>
      <c r="S62" s="7"/>
      <c r="T62" s="7"/>
      <c r="U62" s="7"/>
      <c r="V62" s="7"/>
      <c r="W62" s="30">
        <f t="shared" si="1"/>
        <v>60000</v>
      </c>
      <c r="X62" s="9" t="str">
        <f t="shared" si="3"/>
        <v>Pending</v>
      </c>
    </row>
    <row r="63">
      <c r="A63" s="3"/>
      <c r="B63" s="4"/>
      <c r="C63" s="4"/>
      <c r="D63" s="5"/>
      <c r="E63" s="67"/>
      <c r="F63" s="88"/>
      <c r="G63" s="88"/>
      <c r="H63" s="88"/>
      <c r="I63" s="88"/>
      <c r="J63" s="5"/>
      <c r="K63" s="68"/>
      <c r="L63" s="67"/>
      <c r="M63" s="7"/>
      <c r="N63" s="7"/>
      <c r="O63" s="7"/>
      <c r="P63" s="4"/>
      <c r="Q63" s="5"/>
      <c r="R63" s="5"/>
      <c r="S63" s="7"/>
      <c r="T63" s="7"/>
      <c r="U63" s="7"/>
      <c r="V63" s="7"/>
      <c r="W63" s="30">
        <f t="shared" si="1"/>
        <v>60000</v>
      </c>
      <c r="X63" s="9" t="str">
        <f t="shared" si="3"/>
        <v>Pending</v>
      </c>
    </row>
    <row r="64">
      <c r="A64" s="3"/>
      <c r="B64" s="4"/>
      <c r="C64" s="4"/>
      <c r="D64" s="5"/>
      <c r="E64" s="67"/>
      <c r="F64" s="6"/>
      <c r="G64" s="6"/>
      <c r="H64" s="6"/>
      <c r="I64" s="6"/>
      <c r="J64" s="5"/>
      <c r="K64" s="68"/>
      <c r="L64" s="67"/>
      <c r="M64" s="7"/>
      <c r="N64" s="7"/>
      <c r="O64" s="7"/>
      <c r="P64" s="4"/>
      <c r="Q64" s="5"/>
      <c r="R64" s="5"/>
      <c r="S64" s="7"/>
      <c r="T64" s="7"/>
      <c r="U64" s="7"/>
      <c r="V64" s="7"/>
      <c r="W64" s="30">
        <f t="shared" si="1"/>
        <v>60000</v>
      </c>
      <c r="X64" s="9" t="str">
        <f t="shared" si="3"/>
        <v>Pending</v>
      </c>
    </row>
    <row r="65">
      <c r="A65" s="3"/>
      <c r="B65" s="4"/>
      <c r="C65" s="4"/>
      <c r="D65" s="5"/>
      <c r="E65" s="67"/>
      <c r="F65" s="88"/>
      <c r="G65" s="88"/>
      <c r="H65" s="88"/>
      <c r="I65" s="88"/>
      <c r="J65" s="5"/>
      <c r="K65" s="68"/>
      <c r="L65" s="67"/>
      <c r="M65" s="5"/>
      <c r="N65" s="5"/>
      <c r="O65" s="5"/>
      <c r="P65" s="4"/>
      <c r="Q65" s="67"/>
      <c r="R65" s="67"/>
      <c r="S65" s="5"/>
      <c r="T65" s="5"/>
      <c r="U65" s="5"/>
      <c r="V65" s="5"/>
      <c r="W65" s="30">
        <f t="shared" si="1"/>
        <v>60000</v>
      </c>
      <c r="X65" s="9" t="str">
        <f t="shared" si="3"/>
        <v>Pending</v>
      </c>
    </row>
    <row r="66">
      <c r="A66" s="3"/>
      <c r="B66" s="4"/>
      <c r="C66" s="4"/>
      <c r="D66" s="5"/>
      <c r="E66" s="67"/>
      <c r="F66" s="6"/>
      <c r="G66" s="6"/>
      <c r="H66" s="6"/>
      <c r="I66" s="6"/>
      <c r="J66" s="5"/>
      <c r="K66" s="68"/>
      <c r="L66" s="67"/>
      <c r="M66" s="7"/>
      <c r="N66" s="7"/>
      <c r="O66" s="7"/>
      <c r="P66" s="4"/>
      <c r="Q66" s="5"/>
      <c r="R66" s="5"/>
      <c r="S66" s="7"/>
      <c r="T66" s="7"/>
      <c r="U66" s="7"/>
      <c r="V66" s="7"/>
      <c r="W66" s="30">
        <f t="shared" si="1"/>
        <v>60000</v>
      </c>
      <c r="X66" s="9" t="str">
        <f t="shared" si="3"/>
        <v>Pending</v>
      </c>
    </row>
    <row r="67">
      <c r="A67" s="3"/>
      <c r="B67" s="4"/>
      <c r="C67" s="4"/>
      <c r="D67" s="5"/>
      <c r="E67" s="67"/>
      <c r="F67" s="6"/>
      <c r="G67" s="6"/>
      <c r="H67" s="6"/>
      <c r="I67" s="6"/>
      <c r="J67" s="5"/>
      <c r="K67" s="68"/>
      <c r="L67" s="67"/>
      <c r="M67" s="6"/>
      <c r="N67" s="5"/>
      <c r="O67" s="5"/>
      <c r="P67" s="68"/>
      <c r="Q67" s="67"/>
      <c r="R67" s="67"/>
      <c r="S67" s="7"/>
      <c r="T67" s="7"/>
      <c r="U67" s="7"/>
      <c r="V67" s="7"/>
      <c r="W67" s="30">
        <f t="shared" si="1"/>
        <v>60000</v>
      </c>
      <c r="X67" s="9" t="str">
        <f t="shared" si="3"/>
        <v>Pending</v>
      </c>
    </row>
    <row r="68">
      <c r="A68" s="3"/>
      <c r="B68" s="4"/>
      <c r="C68" s="4"/>
      <c r="D68" s="5"/>
      <c r="E68" s="67"/>
      <c r="F68" s="6"/>
      <c r="G68" s="6"/>
      <c r="H68" s="6"/>
      <c r="I68" s="6"/>
      <c r="J68" s="5"/>
      <c r="K68" s="4"/>
      <c r="L68" s="5"/>
      <c r="M68" s="7"/>
      <c r="N68" s="7"/>
      <c r="O68" s="7"/>
      <c r="P68" s="4"/>
      <c r="Q68" s="5"/>
      <c r="R68" s="5"/>
      <c r="S68" s="7"/>
      <c r="T68" s="7"/>
      <c r="U68" s="7"/>
      <c r="V68" s="7"/>
      <c r="W68" s="30">
        <f t="shared" si="1"/>
        <v>60000</v>
      </c>
      <c r="X68" s="9" t="str">
        <f t="shared" si="3"/>
        <v>Pending</v>
      </c>
    </row>
    <row r="69">
      <c r="A69" s="3"/>
      <c r="B69" s="4"/>
      <c r="C69" s="4"/>
      <c r="D69" s="5"/>
      <c r="E69" s="67"/>
      <c r="F69" s="6"/>
      <c r="G69" s="6"/>
      <c r="H69" s="6"/>
      <c r="I69" s="6"/>
      <c r="J69" s="5"/>
      <c r="K69" s="4"/>
      <c r="L69" s="5"/>
      <c r="M69" s="7"/>
      <c r="N69" s="7"/>
      <c r="O69" s="7"/>
      <c r="P69" s="4"/>
      <c r="Q69" s="5"/>
      <c r="R69" s="5"/>
      <c r="S69" s="7"/>
      <c r="T69" s="7"/>
      <c r="U69" s="7"/>
      <c r="V69" s="7"/>
      <c r="W69" s="30">
        <f t="shared" si="1"/>
        <v>60000</v>
      </c>
      <c r="X69" s="9" t="str">
        <f t="shared" si="3"/>
        <v>Pending</v>
      </c>
    </row>
    <row r="70">
      <c r="A70" s="3"/>
      <c r="B70" s="4"/>
      <c r="C70" s="4"/>
      <c r="D70" s="5"/>
      <c r="E70" s="67"/>
      <c r="F70" s="6"/>
      <c r="G70" s="6"/>
      <c r="H70" s="6"/>
      <c r="I70" s="6"/>
      <c r="J70" s="5"/>
      <c r="K70" s="68"/>
      <c r="L70" s="67"/>
      <c r="M70" s="7"/>
      <c r="N70" s="7"/>
      <c r="O70" s="7"/>
      <c r="P70" s="4"/>
      <c r="Q70" s="5"/>
      <c r="R70" s="5"/>
      <c r="S70" s="7"/>
      <c r="T70" s="7"/>
      <c r="U70" s="7"/>
      <c r="V70" s="7"/>
      <c r="W70" s="30">
        <f t="shared" si="1"/>
        <v>60000</v>
      </c>
      <c r="X70" s="9" t="str">
        <f t="shared" si="3"/>
        <v>Pending</v>
      </c>
    </row>
    <row r="71">
      <c r="A71" s="3"/>
      <c r="B71" s="4"/>
      <c r="C71" s="4"/>
      <c r="D71" s="5"/>
      <c r="E71" s="67"/>
      <c r="F71" s="6"/>
      <c r="G71" s="6"/>
      <c r="H71" s="6"/>
      <c r="I71" s="6"/>
      <c r="J71" s="5"/>
      <c r="K71" s="4"/>
      <c r="L71" s="5"/>
      <c r="M71" s="7"/>
      <c r="N71" s="7"/>
      <c r="O71" s="7"/>
      <c r="P71" s="4"/>
      <c r="Q71" s="5"/>
      <c r="R71" s="5"/>
      <c r="S71" s="7"/>
      <c r="T71" s="7"/>
      <c r="U71" s="7"/>
      <c r="V71" s="7"/>
      <c r="W71" s="30">
        <f t="shared" si="1"/>
        <v>60000</v>
      </c>
      <c r="X71" s="9" t="str">
        <f t="shared" si="3"/>
        <v>Pending</v>
      </c>
    </row>
    <row r="72">
      <c r="A72" s="3"/>
      <c r="B72" s="4"/>
      <c r="C72" s="4"/>
      <c r="D72" s="5"/>
      <c r="E72" s="67"/>
      <c r="F72" s="6"/>
      <c r="G72" s="6"/>
      <c r="H72" s="6"/>
      <c r="I72" s="6"/>
      <c r="J72" s="5"/>
      <c r="K72" s="4"/>
      <c r="L72" s="5"/>
      <c r="M72" s="7"/>
      <c r="N72" s="7"/>
      <c r="O72" s="7"/>
      <c r="P72" s="4"/>
      <c r="Q72" s="5"/>
      <c r="R72" s="5"/>
      <c r="S72" s="7"/>
      <c r="T72" s="7"/>
      <c r="U72" s="7"/>
      <c r="V72" s="7"/>
      <c r="W72" s="30">
        <f t="shared" si="1"/>
        <v>60000</v>
      </c>
      <c r="X72" s="9" t="str">
        <f t="shared" si="3"/>
        <v>Pending</v>
      </c>
    </row>
    <row r="73">
      <c r="A73" s="150"/>
      <c r="B73" s="151"/>
      <c r="C73" s="151"/>
      <c r="D73" s="152"/>
      <c r="E73" s="153"/>
      <c r="F73" s="147"/>
      <c r="G73" s="147"/>
      <c r="H73" s="147"/>
      <c r="I73" s="147"/>
      <c r="J73" s="152"/>
      <c r="K73" s="154"/>
      <c r="L73" s="153"/>
      <c r="M73" s="147"/>
      <c r="N73" s="152"/>
      <c r="O73" s="152"/>
      <c r="P73" s="154"/>
      <c r="Q73" s="153"/>
      <c r="R73" s="153"/>
      <c r="S73" s="147"/>
      <c r="T73" s="147"/>
      <c r="U73" s="147"/>
      <c r="V73" s="147"/>
      <c r="W73" s="30">
        <f t="shared" si="1"/>
        <v>60000</v>
      </c>
      <c r="X73" s="9" t="str">
        <f t="shared" si="3"/>
        <v>Pending</v>
      </c>
      <c r="Y73" s="155"/>
      <c r="Z73" s="155"/>
      <c r="AA73" s="155"/>
      <c r="AB73" s="155"/>
      <c r="AC73" s="155"/>
      <c r="AD73" s="155"/>
      <c r="AE73" s="155"/>
    </row>
    <row r="74">
      <c r="A74" s="3"/>
      <c r="B74" s="4"/>
      <c r="C74" s="4"/>
      <c r="D74" s="5"/>
      <c r="E74" s="67"/>
      <c r="F74" s="6"/>
      <c r="G74" s="6"/>
      <c r="H74" s="6"/>
      <c r="I74" s="6"/>
      <c r="J74" s="5"/>
      <c r="K74" s="4"/>
      <c r="L74" s="5"/>
      <c r="M74" s="7"/>
      <c r="N74" s="7"/>
      <c r="O74" s="7"/>
      <c r="P74" s="4"/>
      <c r="Q74" s="5"/>
      <c r="R74" s="5"/>
      <c r="S74" s="7"/>
      <c r="T74" s="7"/>
      <c r="U74" s="7"/>
      <c r="V74" s="7"/>
      <c r="W74" s="30">
        <f t="shared" si="1"/>
        <v>60000</v>
      </c>
      <c r="X74" s="9" t="str">
        <f t="shared" si="3"/>
        <v>Pending</v>
      </c>
    </row>
    <row r="75">
      <c r="A75" s="3"/>
      <c r="B75" s="4"/>
      <c r="C75" s="4"/>
      <c r="D75" s="5"/>
      <c r="E75" s="67"/>
      <c r="F75" s="6"/>
      <c r="G75" s="6"/>
      <c r="H75" s="6"/>
      <c r="I75" s="6"/>
      <c r="J75" s="5"/>
      <c r="K75" s="68"/>
      <c r="L75" s="67"/>
      <c r="M75" s="7"/>
      <c r="N75" s="7"/>
      <c r="O75" s="7"/>
      <c r="P75" s="4"/>
      <c r="Q75" s="5"/>
      <c r="R75" s="5"/>
      <c r="S75" s="7"/>
      <c r="T75" s="7"/>
      <c r="U75" s="7"/>
      <c r="V75" s="7"/>
      <c r="W75" s="30">
        <f t="shared" si="1"/>
        <v>60000</v>
      </c>
      <c r="X75" s="9" t="str">
        <f t="shared" si="3"/>
        <v>Pending</v>
      </c>
    </row>
    <row r="76">
      <c r="A76" s="3"/>
      <c r="B76" s="4"/>
      <c r="C76" s="4"/>
      <c r="D76" s="5"/>
      <c r="E76" s="67"/>
      <c r="F76" s="6"/>
      <c r="G76" s="6"/>
      <c r="H76" s="6"/>
      <c r="I76" s="6"/>
      <c r="J76" s="5"/>
      <c r="K76" s="68"/>
      <c r="L76" s="67"/>
      <c r="M76" s="6"/>
      <c r="N76" s="5"/>
      <c r="O76" s="5"/>
      <c r="P76" s="4"/>
      <c r="Q76" s="67"/>
      <c r="R76" s="67"/>
      <c r="S76" s="7"/>
      <c r="T76" s="7"/>
      <c r="U76" s="7"/>
      <c r="V76" s="7"/>
      <c r="W76" s="30">
        <f t="shared" si="1"/>
        <v>60000</v>
      </c>
      <c r="X76" s="9" t="str">
        <f t="shared" si="3"/>
        <v>Pending</v>
      </c>
    </row>
    <row r="77">
      <c r="A77" s="3"/>
      <c r="B77" s="4"/>
      <c r="C77" s="4"/>
      <c r="D77" s="5"/>
      <c r="E77" s="67"/>
      <c r="F77" s="6"/>
      <c r="G77" s="6"/>
      <c r="H77" s="6"/>
      <c r="I77" s="6"/>
      <c r="J77" s="5"/>
      <c r="K77" s="4"/>
      <c r="L77" s="5"/>
      <c r="M77" s="7"/>
      <c r="N77" s="7"/>
      <c r="O77" s="7"/>
      <c r="P77" s="4"/>
      <c r="Q77" s="5"/>
      <c r="R77" s="5"/>
      <c r="S77" s="7"/>
      <c r="T77" s="7"/>
      <c r="U77" s="7"/>
      <c r="V77" s="7"/>
      <c r="W77" s="30">
        <f t="shared" si="1"/>
        <v>60000</v>
      </c>
      <c r="X77" s="9" t="str">
        <f t="shared" si="3"/>
        <v>Pending</v>
      </c>
    </row>
    <row r="78">
      <c r="A78" s="3"/>
      <c r="B78" s="4"/>
      <c r="C78" s="4"/>
      <c r="D78" s="5"/>
      <c r="E78" s="67"/>
      <c r="F78" s="6"/>
      <c r="G78" s="6"/>
      <c r="H78" s="6"/>
      <c r="I78" s="6"/>
      <c r="J78" s="5"/>
      <c r="K78" s="68"/>
      <c r="L78" s="67"/>
      <c r="M78" s="7"/>
      <c r="N78" s="7"/>
      <c r="O78" s="7"/>
      <c r="P78" s="4"/>
      <c r="Q78" s="5"/>
      <c r="R78" s="5"/>
      <c r="S78" s="7"/>
      <c r="T78" s="7"/>
      <c r="U78" s="7"/>
      <c r="V78" s="7"/>
      <c r="W78" s="30">
        <f t="shared" si="1"/>
        <v>60000</v>
      </c>
      <c r="X78" s="9" t="str">
        <f t="shared" si="3"/>
        <v>Pending</v>
      </c>
    </row>
    <row r="79">
      <c r="A79" s="3"/>
      <c r="B79" s="4"/>
      <c r="C79" s="4"/>
      <c r="D79" s="5"/>
      <c r="E79" s="67"/>
      <c r="F79" s="6"/>
      <c r="G79" s="6"/>
      <c r="H79" s="6"/>
      <c r="I79" s="6"/>
      <c r="J79" s="5"/>
      <c r="K79" s="4"/>
      <c r="L79" s="5"/>
      <c r="M79" s="7"/>
      <c r="N79" s="7"/>
      <c r="O79" s="7"/>
      <c r="P79" s="4"/>
      <c r="Q79" s="5"/>
      <c r="R79" s="5"/>
      <c r="S79" s="7"/>
      <c r="T79" s="7"/>
      <c r="U79" s="7"/>
      <c r="V79" s="7"/>
      <c r="W79" s="30">
        <f t="shared" si="1"/>
        <v>60000</v>
      </c>
      <c r="X79" s="9" t="str">
        <f t="shared" si="3"/>
        <v>Pending</v>
      </c>
    </row>
    <row r="80">
      <c r="A80" s="3"/>
      <c r="B80" s="4"/>
      <c r="C80" s="4"/>
      <c r="D80" s="5"/>
      <c r="E80" s="67"/>
      <c r="F80" s="6"/>
      <c r="G80" s="6"/>
      <c r="H80" s="6"/>
      <c r="I80" s="6"/>
      <c r="J80" s="5"/>
      <c r="K80" s="4"/>
      <c r="L80" s="5"/>
      <c r="M80" s="7"/>
      <c r="N80" s="7"/>
      <c r="O80" s="7"/>
      <c r="P80" s="4"/>
      <c r="Q80" s="5"/>
      <c r="R80" s="5"/>
      <c r="S80" s="7"/>
      <c r="T80" s="7"/>
      <c r="U80" s="7"/>
      <c r="V80" s="7"/>
      <c r="W80" s="30">
        <f t="shared" si="1"/>
        <v>60000</v>
      </c>
      <c r="X80" s="9" t="str">
        <f t="shared" si="3"/>
        <v>Pending</v>
      </c>
    </row>
    <row r="81">
      <c r="A81" s="150"/>
      <c r="B81" s="4"/>
      <c r="C81" s="4"/>
      <c r="D81" s="5"/>
      <c r="E81" s="67"/>
      <c r="F81" s="6"/>
      <c r="G81" s="6"/>
      <c r="H81" s="6"/>
      <c r="I81" s="6"/>
      <c r="J81" s="5"/>
      <c r="K81" s="4"/>
      <c r="L81" s="67"/>
      <c r="M81" s="7"/>
      <c r="N81" s="7"/>
      <c r="O81" s="7"/>
      <c r="P81" s="4"/>
      <c r="Q81" s="5"/>
      <c r="R81" s="5"/>
      <c r="S81" s="7"/>
      <c r="T81" s="7"/>
      <c r="U81" s="7"/>
      <c r="V81" s="7"/>
      <c r="W81" s="30">
        <f t="shared" si="1"/>
        <v>60000</v>
      </c>
      <c r="X81" s="9" t="str">
        <f t="shared" si="3"/>
        <v>Pending</v>
      </c>
    </row>
    <row r="82">
      <c r="A82" s="20"/>
      <c r="B82" s="4"/>
      <c r="C82" s="4"/>
      <c r="D82" s="5"/>
      <c r="E82" s="5"/>
      <c r="F82" s="6"/>
      <c r="G82" s="6"/>
      <c r="H82" s="6"/>
      <c r="I82" s="6"/>
      <c r="J82" s="5"/>
      <c r="K82" s="68"/>
      <c r="L82" s="67"/>
      <c r="M82" s="6"/>
      <c r="N82" s="5"/>
      <c r="O82" s="5"/>
      <c r="P82" s="68"/>
      <c r="Q82" s="67"/>
      <c r="R82" s="67"/>
      <c r="S82" s="6"/>
      <c r="T82" s="6"/>
      <c r="U82" s="6"/>
      <c r="V82" s="6"/>
      <c r="W82" s="30">
        <f t="shared" si="1"/>
        <v>60000</v>
      </c>
      <c r="X82" s="9" t="str">
        <f t="shared" si="3"/>
        <v>Pending</v>
      </c>
    </row>
    <row r="83">
      <c r="A83" s="3"/>
      <c r="B83" s="4"/>
      <c r="C83" s="4"/>
      <c r="D83" s="5"/>
      <c r="E83" s="67"/>
      <c r="F83" s="6"/>
      <c r="G83" s="6"/>
      <c r="H83" s="6"/>
      <c r="I83" s="6"/>
      <c r="J83" s="5"/>
      <c r="K83" s="4"/>
      <c r="L83" s="67"/>
      <c r="M83" s="7"/>
      <c r="N83" s="7"/>
      <c r="O83" s="7"/>
      <c r="P83" s="4"/>
      <c r="Q83" s="5"/>
      <c r="R83" s="5"/>
      <c r="S83" s="7"/>
      <c r="T83" s="7"/>
      <c r="U83" s="7"/>
      <c r="V83" s="7"/>
      <c r="W83" s="30">
        <f t="shared" si="1"/>
        <v>60000</v>
      </c>
      <c r="X83" s="9" t="str">
        <f t="shared" si="3"/>
        <v>Pending</v>
      </c>
    </row>
    <row r="84">
      <c r="A84" s="3"/>
      <c r="B84" s="4"/>
      <c r="C84" s="4"/>
      <c r="D84" s="5"/>
      <c r="E84" s="67"/>
      <c r="F84" s="6"/>
      <c r="G84" s="6"/>
      <c r="H84" s="6"/>
      <c r="I84" s="6"/>
      <c r="J84" s="5"/>
      <c r="K84" s="4"/>
      <c r="L84" s="5"/>
      <c r="M84" s="7"/>
      <c r="N84" s="7"/>
      <c r="O84" s="7"/>
      <c r="P84" s="4"/>
      <c r="Q84" s="5"/>
      <c r="R84" s="5"/>
      <c r="S84" s="7"/>
      <c r="T84" s="7"/>
      <c r="U84" s="7"/>
      <c r="V84" s="7"/>
      <c r="W84" s="30">
        <f t="shared" si="1"/>
        <v>60000</v>
      </c>
      <c r="X84" s="9" t="str">
        <f t="shared" si="3"/>
        <v>Pending</v>
      </c>
    </row>
    <row r="85">
      <c r="A85" s="3"/>
      <c r="B85" s="4"/>
      <c r="C85" s="4"/>
      <c r="D85" s="5"/>
      <c r="E85" s="67"/>
      <c r="F85" s="6"/>
      <c r="G85" s="6"/>
      <c r="H85" s="6"/>
      <c r="I85" s="6"/>
      <c r="J85" s="5"/>
      <c r="K85" s="4"/>
      <c r="L85" s="67"/>
      <c r="M85" s="7"/>
      <c r="N85" s="7"/>
      <c r="O85" s="7"/>
      <c r="P85" s="4"/>
      <c r="Q85" s="5"/>
      <c r="R85" s="5"/>
      <c r="S85" s="7"/>
      <c r="T85" s="7"/>
      <c r="U85" s="7"/>
      <c r="V85" s="7"/>
      <c r="W85" s="30">
        <f t="shared" si="1"/>
        <v>60000</v>
      </c>
      <c r="X85" s="9" t="str">
        <f t="shared" si="3"/>
        <v>Pending</v>
      </c>
    </row>
    <row r="86">
      <c r="A86" s="3"/>
      <c r="B86" s="4"/>
      <c r="C86" s="4"/>
      <c r="D86" s="5"/>
      <c r="E86" s="5"/>
      <c r="F86" s="6"/>
      <c r="G86" s="6"/>
      <c r="H86" s="6"/>
      <c r="I86" s="6"/>
      <c r="J86" s="5"/>
      <c r="K86" s="4"/>
      <c r="L86" s="5"/>
      <c r="M86" s="7"/>
      <c r="N86" s="7"/>
      <c r="O86" s="7"/>
      <c r="P86" s="4"/>
      <c r="Q86" s="5"/>
      <c r="R86" s="5"/>
      <c r="S86" s="7"/>
      <c r="T86" s="7"/>
      <c r="U86" s="7"/>
      <c r="V86" s="7"/>
      <c r="W86" s="30">
        <f t="shared" si="1"/>
        <v>60000</v>
      </c>
      <c r="X86" s="9" t="str">
        <f t="shared" si="3"/>
        <v>Pending</v>
      </c>
    </row>
    <row r="87">
      <c r="A87" s="3"/>
      <c r="B87" s="4"/>
      <c r="C87" s="4"/>
      <c r="D87" s="5"/>
      <c r="E87" s="5"/>
      <c r="F87" s="6"/>
      <c r="G87" s="6"/>
      <c r="H87" s="6"/>
      <c r="I87" s="6"/>
      <c r="J87" s="5"/>
      <c r="K87" s="4"/>
      <c r="L87" s="5"/>
      <c r="M87" s="7"/>
      <c r="N87" s="7"/>
      <c r="O87" s="7"/>
      <c r="P87" s="4"/>
      <c r="Q87" s="5"/>
      <c r="R87" s="5"/>
      <c r="S87" s="7"/>
      <c r="T87" s="7"/>
      <c r="U87" s="7"/>
      <c r="V87" s="7"/>
      <c r="W87" s="30">
        <f t="shared" si="1"/>
        <v>60000</v>
      </c>
      <c r="X87" s="9" t="str">
        <f t="shared" si="3"/>
        <v>Pending</v>
      </c>
    </row>
    <row r="88">
      <c r="A88" s="3"/>
      <c r="B88" s="4"/>
      <c r="C88" s="4"/>
      <c r="D88" s="5"/>
      <c r="E88" s="5"/>
      <c r="F88" s="6"/>
      <c r="G88" s="6"/>
      <c r="H88" s="6"/>
      <c r="I88" s="6"/>
      <c r="J88" s="5"/>
      <c r="K88" s="4"/>
      <c r="L88" s="5"/>
      <c r="M88" s="7"/>
      <c r="N88" s="7"/>
      <c r="O88" s="7"/>
      <c r="P88" s="4"/>
      <c r="Q88" s="5"/>
      <c r="R88" s="5"/>
      <c r="S88" s="7"/>
      <c r="T88" s="7"/>
      <c r="U88" s="7"/>
      <c r="V88" s="7"/>
      <c r="W88" s="30">
        <f t="shared" si="1"/>
        <v>60000</v>
      </c>
      <c r="X88" s="9" t="str">
        <f t="shared" si="3"/>
        <v>Pending</v>
      </c>
    </row>
    <row r="89">
      <c r="A89" s="3"/>
      <c r="B89" s="4"/>
      <c r="C89" s="4"/>
      <c r="D89" s="5"/>
      <c r="E89" s="5"/>
      <c r="F89" s="6"/>
      <c r="G89" s="6"/>
      <c r="H89" s="6"/>
      <c r="I89" s="6"/>
      <c r="J89" s="5"/>
      <c r="K89" s="4"/>
      <c r="L89" s="5"/>
      <c r="M89" s="7"/>
      <c r="N89" s="7"/>
      <c r="O89" s="7"/>
      <c r="P89" s="4"/>
      <c r="Q89" s="5"/>
      <c r="R89" s="5"/>
      <c r="S89" s="7"/>
      <c r="T89" s="7"/>
      <c r="U89" s="7"/>
      <c r="V89" s="7"/>
      <c r="W89" s="30">
        <f t="shared" si="1"/>
        <v>60000</v>
      </c>
      <c r="X89" s="9" t="str">
        <f t="shared" si="3"/>
        <v>Pending</v>
      </c>
    </row>
    <row r="90">
      <c r="A90" s="3"/>
      <c r="B90" s="4"/>
      <c r="C90" s="4"/>
      <c r="D90" s="5"/>
      <c r="E90" s="5"/>
      <c r="F90" s="6"/>
      <c r="G90" s="6"/>
      <c r="H90" s="6"/>
      <c r="I90" s="6"/>
      <c r="J90" s="5"/>
      <c r="K90" s="4"/>
      <c r="L90" s="5"/>
      <c r="M90" s="7"/>
      <c r="N90" s="7"/>
      <c r="O90" s="7"/>
      <c r="P90" s="4"/>
      <c r="Q90" s="5"/>
      <c r="R90" s="5"/>
      <c r="S90" s="7"/>
      <c r="T90" s="7"/>
      <c r="U90" s="7"/>
      <c r="V90" s="7"/>
      <c r="W90" s="30">
        <f t="shared" si="1"/>
        <v>60000</v>
      </c>
      <c r="X90" s="9" t="str">
        <f t="shared" si="3"/>
        <v>Pending</v>
      </c>
    </row>
    <row r="91">
      <c r="A91" s="3"/>
      <c r="B91" s="4"/>
      <c r="C91" s="4"/>
      <c r="D91" s="5"/>
      <c r="E91" s="5"/>
      <c r="F91" s="6"/>
      <c r="G91" s="6"/>
      <c r="H91" s="6"/>
      <c r="I91" s="6"/>
      <c r="J91" s="5"/>
      <c r="K91" s="4"/>
      <c r="L91" s="5"/>
      <c r="M91" s="7"/>
      <c r="N91" s="7"/>
      <c r="O91" s="7"/>
      <c r="P91" s="4"/>
      <c r="Q91" s="5"/>
      <c r="R91" s="5"/>
      <c r="S91" s="7"/>
      <c r="T91" s="7"/>
      <c r="U91" s="7"/>
      <c r="V91" s="7"/>
      <c r="W91" s="30">
        <f t="shared" si="1"/>
        <v>60000</v>
      </c>
      <c r="X91" s="9" t="str">
        <f t="shared" si="3"/>
        <v>Pending</v>
      </c>
    </row>
    <row r="92">
      <c r="A92" s="3"/>
      <c r="B92" s="4"/>
      <c r="C92" s="4"/>
      <c r="D92" s="5"/>
      <c r="E92" s="5"/>
      <c r="F92" s="6"/>
      <c r="G92" s="6"/>
      <c r="H92" s="6"/>
      <c r="I92" s="6"/>
      <c r="J92" s="5"/>
      <c r="K92" s="4"/>
      <c r="L92" s="5"/>
      <c r="M92" s="7"/>
      <c r="N92" s="7"/>
      <c r="O92" s="7"/>
      <c r="P92" s="4"/>
      <c r="Q92" s="5"/>
      <c r="R92" s="5"/>
      <c r="S92" s="7"/>
      <c r="T92" s="7"/>
      <c r="U92" s="7"/>
      <c r="V92" s="7"/>
      <c r="W92" s="30">
        <f t="shared" si="1"/>
        <v>60000</v>
      </c>
      <c r="X92" s="9" t="str">
        <f t="shared" si="3"/>
        <v>Pending</v>
      </c>
    </row>
    <row r="93">
      <c r="A93" s="3"/>
      <c r="B93" s="4"/>
      <c r="C93" s="4"/>
      <c r="D93" s="5"/>
      <c r="E93" s="5"/>
      <c r="F93" s="6"/>
      <c r="G93" s="6"/>
      <c r="H93" s="6"/>
      <c r="I93" s="6"/>
      <c r="J93" s="5"/>
      <c r="K93" s="4"/>
      <c r="L93" s="5"/>
      <c r="M93" s="7"/>
      <c r="N93" s="7"/>
      <c r="O93" s="7"/>
      <c r="P93" s="4"/>
      <c r="Q93" s="5"/>
      <c r="R93" s="5"/>
      <c r="S93" s="7"/>
      <c r="T93" s="7"/>
      <c r="U93" s="7"/>
      <c r="V93" s="7"/>
      <c r="W93" s="30">
        <f t="shared" si="1"/>
        <v>60000</v>
      </c>
      <c r="X93" s="9" t="str">
        <f t="shared" si="3"/>
        <v>Pending</v>
      </c>
    </row>
    <row r="94">
      <c r="A94" s="3"/>
      <c r="B94" s="4"/>
      <c r="C94" s="4"/>
      <c r="D94" s="5"/>
      <c r="E94" s="5"/>
      <c r="F94" s="6"/>
      <c r="G94" s="6"/>
      <c r="H94" s="6"/>
      <c r="I94" s="6"/>
      <c r="J94" s="5"/>
      <c r="K94" s="4"/>
      <c r="L94" s="5"/>
      <c r="M94" s="7"/>
      <c r="N94" s="7"/>
      <c r="O94" s="7"/>
      <c r="P94" s="4"/>
      <c r="Q94" s="5"/>
      <c r="R94" s="5"/>
      <c r="S94" s="7"/>
      <c r="T94" s="7"/>
      <c r="U94" s="7"/>
      <c r="V94" s="7"/>
      <c r="W94" s="30">
        <f t="shared" si="1"/>
        <v>60000</v>
      </c>
      <c r="X94" s="9" t="str">
        <f t="shared" si="3"/>
        <v>Pending</v>
      </c>
    </row>
    <row r="95">
      <c r="A95" s="3"/>
      <c r="B95" s="4"/>
      <c r="C95" s="4"/>
      <c r="D95" s="5"/>
      <c r="E95" s="5"/>
      <c r="F95" s="6"/>
      <c r="G95" s="6"/>
      <c r="H95" s="6"/>
      <c r="I95" s="6"/>
      <c r="J95" s="5"/>
      <c r="K95" s="4"/>
      <c r="L95" s="5"/>
      <c r="M95" s="7"/>
      <c r="N95" s="7"/>
      <c r="O95" s="7"/>
      <c r="P95" s="4"/>
      <c r="Q95" s="5"/>
      <c r="R95" s="5"/>
      <c r="S95" s="7"/>
      <c r="T95" s="7"/>
      <c r="U95" s="7"/>
      <c r="V95" s="7"/>
      <c r="W95" s="30">
        <f t="shared" si="1"/>
        <v>60000</v>
      </c>
      <c r="X95" s="9" t="str">
        <f t="shared" si="3"/>
        <v>Pending</v>
      </c>
    </row>
    <row r="96">
      <c r="A96" s="3"/>
      <c r="B96" s="4"/>
      <c r="C96" s="4"/>
      <c r="D96" s="5"/>
      <c r="E96" s="5"/>
      <c r="F96" s="6"/>
      <c r="G96" s="6"/>
      <c r="H96" s="6"/>
      <c r="I96" s="6"/>
      <c r="J96" s="5"/>
      <c r="K96" s="4"/>
      <c r="L96" s="5"/>
      <c r="M96" s="7"/>
      <c r="N96" s="7"/>
      <c r="O96" s="7"/>
      <c r="P96" s="4"/>
      <c r="Q96" s="5"/>
      <c r="R96" s="5"/>
      <c r="S96" s="7"/>
      <c r="T96" s="7"/>
      <c r="U96" s="7"/>
      <c r="V96" s="7"/>
      <c r="W96" s="30">
        <f t="shared" si="1"/>
        <v>60000</v>
      </c>
      <c r="X96" s="9" t="str">
        <f t="shared" si="3"/>
        <v>Pending</v>
      </c>
    </row>
    <row r="97">
      <c r="A97" s="3"/>
      <c r="B97" s="4"/>
      <c r="C97" s="4"/>
      <c r="D97" s="5"/>
      <c r="E97" s="5"/>
      <c r="F97" s="6"/>
      <c r="G97" s="6"/>
      <c r="H97" s="6"/>
      <c r="I97" s="6"/>
      <c r="J97" s="5"/>
      <c r="K97" s="4"/>
      <c r="L97" s="5"/>
      <c r="M97" s="7"/>
      <c r="N97" s="7"/>
      <c r="O97" s="7"/>
      <c r="P97" s="4"/>
      <c r="Q97" s="5"/>
      <c r="R97" s="5"/>
      <c r="S97" s="7"/>
      <c r="T97" s="7"/>
      <c r="U97" s="7"/>
      <c r="V97" s="7"/>
      <c r="W97" s="30">
        <f t="shared" si="1"/>
        <v>60000</v>
      </c>
      <c r="X97" s="9" t="str">
        <f t="shared" si="3"/>
        <v>Pending</v>
      </c>
    </row>
    <row r="98">
      <c r="A98" s="3"/>
      <c r="B98" s="4"/>
      <c r="C98" s="4"/>
      <c r="D98" s="5"/>
      <c r="E98" s="5"/>
      <c r="F98" s="6"/>
      <c r="G98" s="6"/>
      <c r="H98" s="6"/>
      <c r="I98" s="6"/>
      <c r="J98" s="5"/>
      <c r="K98" s="4"/>
      <c r="L98" s="5"/>
      <c r="M98" s="7"/>
      <c r="N98" s="7"/>
      <c r="O98" s="7"/>
      <c r="P98" s="4"/>
      <c r="Q98" s="5"/>
      <c r="R98" s="5"/>
      <c r="S98" s="7"/>
      <c r="T98" s="7"/>
      <c r="U98" s="7"/>
      <c r="V98" s="7"/>
      <c r="W98" s="30">
        <f t="shared" si="1"/>
        <v>60000</v>
      </c>
      <c r="X98" s="9" t="str">
        <f t="shared" si="3"/>
        <v>Pending</v>
      </c>
    </row>
    <row r="99">
      <c r="A99" s="3"/>
      <c r="B99" s="4"/>
      <c r="C99" s="4"/>
      <c r="D99" s="5"/>
      <c r="E99" s="5"/>
      <c r="F99" s="6"/>
      <c r="G99" s="6"/>
      <c r="H99" s="6"/>
      <c r="I99" s="6"/>
      <c r="J99" s="5"/>
      <c r="K99" s="4"/>
      <c r="L99" s="5"/>
      <c r="M99" s="7"/>
      <c r="N99" s="7"/>
      <c r="O99" s="7"/>
      <c r="P99" s="4"/>
      <c r="Q99" s="5"/>
      <c r="R99" s="5"/>
      <c r="S99" s="7"/>
      <c r="T99" s="7"/>
      <c r="U99" s="7"/>
      <c r="V99" s="7"/>
      <c r="W99" s="30">
        <f t="shared" si="1"/>
        <v>60000</v>
      </c>
      <c r="X99" s="9" t="str">
        <f t="shared" si="3"/>
        <v>Pending</v>
      </c>
    </row>
    <row r="100">
      <c r="G100" s="156"/>
      <c r="K100" s="98"/>
      <c r="P100" s="98"/>
    </row>
    <row r="101">
      <c r="G101" s="156"/>
      <c r="K101" s="98"/>
      <c r="P101" s="98"/>
    </row>
    <row r="102">
      <c r="G102" s="156"/>
      <c r="K102" s="98"/>
      <c r="P102" s="98"/>
    </row>
    <row r="103">
      <c r="G103" s="156"/>
      <c r="K103" s="98"/>
      <c r="P103" s="98"/>
    </row>
    <row r="104">
      <c r="G104" s="156"/>
      <c r="K104" s="98"/>
      <c r="P104" s="98"/>
    </row>
    <row r="105">
      <c r="G105" s="156"/>
      <c r="K105" s="98"/>
      <c r="P105" s="98"/>
    </row>
    <row r="106">
      <c r="G106" s="156"/>
      <c r="K106" s="98"/>
      <c r="P106" s="98"/>
    </row>
    <row r="107">
      <c r="G107" s="156"/>
      <c r="K107" s="98"/>
      <c r="P107" s="98"/>
    </row>
    <row r="108">
      <c r="G108" s="156"/>
      <c r="K108" s="98"/>
      <c r="P108" s="98"/>
    </row>
    <row r="109">
      <c r="G109" s="156"/>
      <c r="K109" s="98"/>
      <c r="P109" s="98"/>
    </row>
    <row r="110">
      <c r="G110" s="156"/>
      <c r="K110" s="98"/>
      <c r="P110" s="98"/>
    </row>
    <row r="111">
      <c r="G111" s="156"/>
      <c r="K111" s="98"/>
      <c r="P111" s="98"/>
    </row>
    <row r="112">
      <c r="G112" s="156"/>
      <c r="K112" s="98"/>
      <c r="P112" s="98"/>
    </row>
    <row r="113">
      <c r="G113" s="156"/>
      <c r="K113" s="98"/>
      <c r="P113" s="98"/>
    </row>
    <row r="114">
      <c r="G114" s="156"/>
      <c r="K114" s="98"/>
      <c r="P114" s="98"/>
    </row>
    <row r="115">
      <c r="G115" s="156"/>
      <c r="K115" s="98"/>
      <c r="P115" s="98"/>
    </row>
    <row r="116">
      <c r="G116" s="156"/>
      <c r="K116" s="98"/>
      <c r="P116" s="98"/>
    </row>
    <row r="117">
      <c r="G117" s="156"/>
      <c r="K117" s="98"/>
      <c r="P117" s="98"/>
    </row>
    <row r="118">
      <c r="G118" s="156"/>
      <c r="K118" s="98"/>
      <c r="P118" s="98"/>
    </row>
    <row r="119">
      <c r="G119" s="156"/>
      <c r="K119" s="98"/>
      <c r="P119" s="98"/>
    </row>
    <row r="120">
      <c r="G120" s="156"/>
      <c r="K120" s="98"/>
      <c r="P120" s="98"/>
    </row>
    <row r="121">
      <c r="G121" s="156"/>
      <c r="K121" s="98"/>
      <c r="P121" s="98"/>
    </row>
    <row r="122">
      <c r="G122" s="156"/>
      <c r="K122" s="98"/>
      <c r="P122" s="98"/>
    </row>
    <row r="123">
      <c r="G123" s="156"/>
      <c r="K123" s="98"/>
      <c r="P123" s="98"/>
    </row>
    <row r="124">
      <c r="G124" s="156"/>
      <c r="K124" s="98"/>
      <c r="P124" s="98"/>
    </row>
    <row r="125">
      <c r="G125" s="156"/>
      <c r="K125" s="98"/>
      <c r="P125" s="98"/>
    </row>
    <row r="126">
      <c r="G126" s="156"/>
      <c r="K126" s="98"/>
      <c r="P126" s="98"/>
    </row>
    <row r="127">
      <c r="G127" s="156"/>
      <c r="K127" s="98"/>
      <c r="P127" s="98"/>
    </row>
    <row r="128">
      <c r="G128" s="156"/>
      <c r="K128" s="98"/>
      <c r="P128" s="98"/>
    </row>
    <row r="129">
      <c r="G129" s="156"/>
      <c r="K129" s="98"/>
      <c r="P129" s="98"/>
    </row>
    <row r="130">
      <c r="G130" s="156"/>
      <c r="K130" s="98"/>
      <c r="P130" s="98"/>
    </row>
    <row r="131">
      <c r="G131" s="156"/>
      <c r="K131" s="98"/>
      <c r="P131" s="98"/>
    </row>
    <row r="132">
      <c r="G132" s="156"/>
      <c r="K132" s="98"/>
      <c r="P132" s="98"/>
    </row>
    <row r="133">
      <c r="G133" s="156"/>
      <c r="K133" s="98"/>
      <c r="P133" s="98"/>
    </row>
    <row r="134">
      <c r="G134" s="156"/>
      <c r="K134" s="98"/>
      <c r="P134" s="98"/>
    </row>
    <row r="135">
      <c r="G135" s="156"/>
      <c r="K135" s="98"/>
      <c r="P135" s="98"/>
    </row>
    <row r="136">
      <c r="G136" s="156"/>
      <c r="K136" s="98"/>
      <c r="P136" s="98"/>
    </row>
    <row r="137">
      <c r="G137" s="156"/>
      <c r="K137" s="98"/>
      <c r="P137" s="98"/>
    </row>
    <row r="138">
      <c r="G138" s="156"/>
      <c r="K138" s="98"/>
      <c r="P138" s="98"/>
    </row>
    <row r="139">
      <c r="G139" s="156"/>
      <c r="K139" s="98"/>
      <c r="P139" s="98"/>
    </row>
    <row r="140">
      <c r="G140" s="156"/>
      <c r="K140" s="98"/>
      <c r="P140" s="98"/>
    </row>
    <row r="141">
      <c r="G141" s="156"/>
      <c r="K141" s="98"/>
      <c r="P141" s="98"/>
    </row>
    <row r="142">
      <c r="G142" s="156"/>
      <c r="K142" s="98"/>
      <c r="P142" s="98"/>
    </row>
    <row r="143">
      <c r="G143" s="156"/>
      <c r="K143" s="98"/>
      <c r="P143" s="98"/>
    </row>
    <row r="144">
      <c r="G144" s="156"/>
      <c r="K144" s="98"/>
      <c r="P144" s="98"/>
    </row>
    <row r="145">
      <c r="G145" s="156"/>
      <c r="K145" s="98"/>
      <c r="P145" s="98"/>
    </row>
    <row r="146">
      <c r="G146" s="156"/>
      <c r="K146" s="98"/>
      <c r="P146" s="98"/>
    </row>
    <row r="147">
      <c r="G147" s="156"/>
      <c r="K147" s="98"/>
      <c r="P147" s="98"/>
    </row>
    <row r="148">
      <c r="G148" s="156"/>
      <c r="K148" s="98"/>
      <c r="P148" s="98"/>
    </row>
    <row r="149">
      <c r="G149" s="156"/>
      <c r="K149" s="98"/>
      <c r="P149" s="98"/>
    </row>
    <row r="150">
      <c r="G150" s="156"/>
      <c r="K150" s="98"/>
      <c r="P150" s="98"/>
    </row>
    <row r="151">
      <c r="G151" s="156"/>
      <c r="K151" s="98"/>
      <c r="P151" s="98"/>
    </row>
    <row r="152">
      <c r="G152" s="156"/>
      <c r="K152" s="98"/>
      <c r="P152" s="98"/>
    </row>
    <row r="153">
      <c r="G153" s="156"/>
      <c r="K153" s="98"/>
      <c r="P153" s="98"/>
    </row>
    <row r="154">
      <c r="G154" s="156"/>
      <c r="K154" s="98"/>
      <c r="P154" s="98"/>
    </row>
    <row r="155">
      <c r="G155" s="156"/>
      <c r="K155" s="98"/>
      <c r="P155" s="98"/>
    </row>
    <row r="156">
      <c r="G156" s="156"/>
      <c r="K156" s="98"/>
      <c r="P156" s="98"/>
    </row>
    <row r="157">
      <c r="G157" s="156"/>
      <c r="K157" s="98"/>
      <c r="P157" s="98"/>
    </row>
    <row r="158">
      <c r="G158" s="156"/>
      <c r="K158" s="98"/>
      <c r="P158" s="98"/>
    </row>
    <row r="159">
      <c r="G159" s="156"/>
      <c r="K159" s="98"/>
      <c r="P159" s="98"/>
    </row>
    <row r="160">
      <c r="G160" s="156"/>
      <c r="K160" s="98"/>
      <c r="P160" s="98"/>
    </row>
    <row r="161">
      <c r="G161" s="156"/>
      <c r="K161" s="98"/>
      <c r="P161" s="98"/>
    </row>
    <row r="162">
      <c r="G162" s="156"/>
      <c r="K162" s="98"/>
      <c r="P162" s="98"/>
    </row>
    <row r="163">
      <c r="G163" s="156"/>
      <c r="K163" s="98"/>
      <c r="P163" s="98"/>
    </row>
    <row r="164">
      <c r="G164" s="156"/>
      <c r="K164" s="98"/>
      <c r="P164" s="98"/>
    </row>
    <row r="165">
      <c r="G165" s="156"/>
      <c r="K165" s="98"/>
      <c r="P165" s="98"/>
    </row>
    <row r="166">
      <c r="G166" s="156"/>
      <c r="K166" s="98"/>
      <c r="P166" s="98"/>
    </row>
    <row r="167">
      <c r="G167" s="156"/>
      <c r="K167" s="98"/>
      <c r="P167" s="98"/>
    </row>
    <row r="168">
      <c r="G168" s="156"/>
      <c r="K168" s="98"/>
      <c r="P168" s="98"/>
    </row>
    <row r="169">
      <c r="G169" s="156"/>
      <c r="K169" s="98"/>
      <c r="P169" s="98"/>
    </row>
    <row r="170">
      <c r="G170" s="156"/>
      <c r="K170" s="98"/>
      <c r="P170" s="98"/>
    </row>
    <row r="171">
      <c r="G171" s="156"/>
      <c r="K171" s="98"/>
      <c r="P171" s="98"/>
    </row>
    <row r="172">
      <c r="G172" s="156"/>
      <c r="K172" s="98"/>
      <c r="P172" s="98"/>
    </row>
    <row r="173">
      <c r="G173" s="156"/>
      <c r="K173" s="98"/>
      <c r="P173" s="98"/>
    </row>
    <row r="174">
      <c r="G174" s="156"/>
      <c r="K174" s="98"/>
      <c r="P174" s="98"/>
    </row>
    <row r="175">
      <c r="G175" s="156"/>
      <c r="K175" s="98"/>
      <c r="P175" s="98"/>
    </row>
    <row r="176">
      <c r="G176" s="156"/>
      <c r="K176" s="98"/>
      <c r="P176" s="98"/>
    </row>
    <row r="177">
      <c r="G177" s="156"/>
      <c r="K177" s="98"/>
      <c r="P177" s="98"/>
    </row>
    <row r="178">
      <c r="G178" s="156"/>
      <c r="K178" s="98"/>
      <c r="P178" s="98"/>
    </row>
    <row r="179">
      <c r="G179" s="156"/>
      <c r="K179" s="98"/>
      <c r="P179" s="98"/>
    </row>
    <row r="180">
      <c r="G180" s="156"/>
      <c r="K180" s="98"/>
      <c r="P180" s="98"/>
    </row>
    <row r="181">
      <c r="G181" s="156"/>
      <c r="K181" s="98"/>
      <c r="P181" s="98"/>
    </row>
    <row r="182">
      <c r="G182" s="156"/>
      <c r="K182" s="98"/>
      <c r="P182" s="98"/>
    </row>
    <row r="183">
      <c r="G183" s="156"/>
      <c r="K183" s="98"/>
      <c r="P183" s="98"/>
    </row>
    <row r="184">
      <c r="G184" s="156"/>
      <c r="K184" s="98"/>
      <c r="P184" s="98"/>
    </row>
    <row r="185">
      <c r="G185" s="156"/>
      <c r="K185" s="98"/>
      <c r="P185" s="98"/>
    </row>
    <row r="186">
      <c r="G186" s="156"/>
      <c r="K186" s="98"/>
      <c r="P186" s="98"/>
    </row>
    <row r="187">
      <c r="G187" s="156"/>
      <c r="K187" s="98"/>
      <c r="P187" s="98"/>
    </row>
    <row r="188">
      <c r="G188" s="156"/>
      <c r="K188" s="98"/>
      <c r="P188" s="98"/>
    </row>
    <row r="189">
      <c r="G189" s="156"/>
      <c r="K189" s="98"/>
      <c r="P189" s="98"/>
    </row>
    <row r="190">
      <c r="G190" s="156"/>
      <c r="K190" s="98"/>
      <c r="P190" s="98"/>
    </row>
    <row r="191">
      <c r="G191" s="156"/>
      <c r="K191" s="98"/>
      <c r="P191" s="98"/>
    </row>
    <row r="192">
      <c r="G192" s="156"/>
      <c r="K192" s="98"/>
      <c r="P192" s="98"/>
    </row>
    <row r="193">
      <c r="G193" s="156"/>
      <c r="K193" s="98"/>
      <c r="P193" s="98"/>
    </row>
    <row r="194">
      <c r="G194" s="156"/>
      <c r="K194" s="98"/>
      <c r="P194" s="98"/>
    </row>
    <row r="195">
      <c r="G195" s="156"/>
      <c r="K195" s="98"/>
      <c r="P195" s="98"/>
    </row>
    <row r="196">
      <c r="G196" s="156"/>
      <c r="K196" s="98"/>
      <c r="P196" s="98"/>
    </row>
    <row r="197">
      <c r="G197" s="156"/>
      <c r="K197" s="98"/>
      <c r="P197" s="98"/>
    </row>
    <row r="198">
      <c r="G198" s="156"/>
      <c r="K198" s="98"/>
      <c r="P198" s="98"/>
    </row>
    <row r="199">
      <c r="G199" s="156"/>
      <c r="K199" s="98"/>
      <c r="P199" s="98"/>
    </row>
    <row r="200">
      <c r="G200" s="156"/>
      <c r="K200" s="98"/>
      <c r="P200" s="98"/>
    </row>
    <row r="201">
      <c r="G201" s="156"/>
      <c r="K201" s="98"/>
      <c r="P201" s="98"/>
    </row>
    <row r="202">
      <c r="G202" s="156"/>
      <c r="K202" s="98"/>
      <c r="P202" s="98"/>
    </row>
    <row r="203">
      <c r="G203" s="156"/>
      <c r="K203" s="98"/>
      <c r="P203" s="98"/>
    </row>
    <row r="204">
      <c r="G204" s="156"/>
      <c r="K204" s="98"/>
      <c r="P204" s="98"/>
    </row>
    <row r="205">
      <c r="G205" s="156"/>
      <c r="K205" s="98"/>
      <c r="P205" s="98"/>
    </row>
    <row r="206">
      <c r="G206" s="156"/>
      <c r="K206" s="98"/>
      <c r="P206" s="98"/>
    </row>
    <row r="207">
      <c r="G207" s="156"/>
      <c r="K207" s="98"/>
      <c r="P207" s="98"/>
    </row>
    <row r="208">
      <c r="G208" s="156"/>
      <c r="K208" s="98"/>
      <c r="P208" s="98"/>
    </row>
    <row r="209">
      <c r="G209" s="156"/>
      <c r="K209" s="98"/>
      <c r="P209" s="98"/>
    </row>
    <row r="210">
      <c r="G210" s="156"/>
      <c r="K210" s="98"/>
      <c r="P210" s="98"/>
    </row>
    <row r="211">
      <c r="G211" s="156"/>
      <c r="K211" s="98"/>
      <c r="P211" s="98"/>
    </row>
    <row r="212">
      <c r="G212" s="156"/>
      <c r="K212" s="98"/>
      <c r="P212" s="98"/>
    </row>
    <row r="213">
      <c r="G213" s="156"/>
      <c r="K213" s="98"/>
      <c r="P213" s="98"/>
    </row>
    <row r="214">
      <c r="G214" s="156"/>
      <c r="K214" s="98"/>
      <c r="P214" s="98"/>
    </row>
    <row r="215">
      <c r="G215" s="156"/>
      <c r="K215" s="98"/>
      <c r="P215" s="98"/>
    </row>
    <row r="216">
      <c r="G216" s="156"/>
      <c r="K216" s="98"/>
      <c r="P216" s="98"/>
    </row>
    <row r="217">
      <c r="G217" s="156"/>
      <c r="K217" s="98"/>
      <c r="P217" s="98"/>
    </row>
    <row r="218">
      <c r="G218" s="156"/>
      <c r="K218" s="98"/>
      <c r="P218" s="98"/>
    </row>
    <row r="219">
      <c r="G219" s="156"/>
      <c r="K219" s="98"/>
      <c r="P219" s="98"/>
    </row>
    <row r="220">
      <c r="G220" s="156"/>
      <c r="K220" s="98"/>
      <c r="P220" s="98"/>
    </row>
    <row r="221">
      <c r="G221" s="156"/>
      <c r="K221" s="98"/>
      <c r="P221" s="98"/>
    </row>
    <row r="222">
      <c r="G222" s="156"/>
      <c r="K222" s="98"/>
      <c r="P222" s="98"/>
    </row>
    <row r="223">
      <c r="G223" s="156"/>
      <c r="K223" s="98"/>
      <c r="P223" s="98"/>
    </row>
    <row r="224">
      <c r="G224" s="156"/>
      <c r="K224" s="98"/>
      <c r="P224" s="98"/>
    </row>
    <row r="225">
      <c r="G225" s="156"/>
      <c r="K225" s="98"/>
      <c r="P225" s="98"/>
    </row>
    <row r="226">
      <c r="G226" s="156"/>
      <c r="K226" s="98"/>
      <c r="P226" s="98"/>
    </row>
    <row r="227">
      <c r="G227" s="156"/>
      <c r="K227" s="98"/>
      <c r="P227" s="98"/>
    </row>
    <row r="228">
      <c r="G228" s="156"/>
      <c r="K228" s="98"/>
      <c r="P228" s="98"/>
    </row>
    <row r="229">
      <c r="G229" s="156"/>
      <c r="K229" s="98"/>
      <c r="P229" s="98"/>
    </row>
    <row r="230">
      <c r="G230" s="156"/>
      <c r="K230" s="98"/>
      <c r="P230" s="98"/>
    </row>
    <row r="231">
      <c r="G231" s="156"/>
      <c r="K231" s="98"/>
      <c r="P231" s="98"/>
    </row>
    <row r="232">
      <c r="G232" s="156"/>
      <c r="K232" s="98"/>
      <c r="P232" s="98"/>
    </row>
    <row r="233">
      <c r="G233" s="156"/>
      <c r="K233" s="98"/>
      <c r="P233" s="98"/>
    </row>
    <row r="234">
      <c r="G234" s="156"/>
      <c r="K234" s="98"/>
      <c r="P234" s="98"/>
    </row>
    <row r="235">
      <c r="G235" s="156"/>
      <c r="K235" s="98"/>
      <c r="P235" s="98"/>
    </row>
    <row r="236">
      <c r="G236" s="156"/>
      <c r="K236" s="98"/>
      <c r="P236" s="98"/>
    </row>
    <row r="237">
      <c r="G237" s="156"/>
      <c r="K237" s="98"/>
      <c r="P237" s="98"/>
    </row>
    <row r="238">
      <c r="G238" s="156"/>
      <c r="K238" s="98"/>
      <c r="P238" s="98"/>
    </row>
    <row r="239">
      <c r="G239" s="156"/>
      <c r="K239" s="98"/>
      <c r="P239" s="98"/>
    </row>
    <row r="240">
      <c r="G240" s="156"/>
      <c r="K240" s="98"/>
      <c r="P240" s="98"/>
    </row>
    <row r="241">
      <c r="G241" s="156"/>
      <c r="K241" s="98"/>
      <c r="P241" s="98"/>
    </row>
    <row r="242">
      <c r="G242" s="156"/>
      <c r="K242" s="98"/>
      <c r="P242" s="98"/>
    </row>
    <row r="243">
      <c r="G243" s="156"/>
      <c r="K243" s="98"/>
      <c r="P243" s="98"/>
    </row>
    <row r="244">
      <c r="G244" s="156"/>
      <c r="K244" s="98"/>
      <c r="P244" s="98"/>
    </row>
    <row r="245">
      <c r="G245" s="156"/>
      <c r="K245" s="98"/>
      <c r="P245" s="98"/>
    </row>
    <row r="246">
      <c r="G246" s="156"/>
      <c r="K246" s="98"/>
      <c r="P246" s="98"/>
    </row>
    <row r="247">
      <c r="G247" s="156"/>
      <c r="K247" s="98"/>
      <c r="P247" s="98"/>
    </row>
    <row r="248">
      <c r="G248" s="156"/>
      <c r="K248" s="98"/>
      <c r="P248" s="98"/>
    </row>
    <row r="249">
      <c r="G249" s="156"/>
      <c r="K249" s="98"/>
      <c r="P249" s="98"/>
    </row>
    <row r="250">
      <c r="G250" s="156"/>
      <c r="K250" s="98"/>
      <c r="P250" s="98"/>
    </row>
    <row r="251">
      <c r="G251" s="156"/>
      <c r="K251" s="98"/>
      <c r="P251" s="98"/>
    </row>
    <row r="252">
      <c r="G252" s="156"/>
      <c r="K252" s="98"/>
      <c r="P252" s="98"/>
    </row>
    <row r="253">
      <c r="G253" s="156"/>
      <c r="K253" s="98"/>
      <c r="P253" s="98"/>
    </row>
    <row r="254">
      <c r="G254" s="156"/>
      <c r="K254" s="98"/>
      <c r="P254" s="98"/>
    </row>
    <row r="255">
      <c r="G255" s="156"/>
      <c r="K255" s="98"/>
      <c r="P255" s="98"/>
    </row>
    <row r="256">
      <c r="G256" s="156"/>
      <c r="K256" s="98"/>
      <c r="P256" s="98"/>
    </row>
    <row r="257">
      <c r="G257" s="156"/>
      <c r="K257" s="98"/>
      <c r="P257" s="98"/>
    </row>
    <row r="258">
      <c r="G258" s="156"/>
      <c r="K258" s="98"/>
      <c r="P258" s="98"/>
    </row>
    <row r="259">
      <c r="G259" s="156"/>
      <c r="K259" s="98"/>
      <c r="P259" s="98"/>
    </row>
    <row r="260">
      <c r="G260" s="156"/>
      <c r="K260" s="98"/>
      <c r="P260" s="98"/>
    </row>
    <row r="261">
      <c r="G261" s="156"/>
      <c r="K261" s="98"/>
      <c r="P261" s="98"/>
    </row>
    <row r="262">
      <c r="G262" s="156"/>
      <c r="K262" s="98"/>
      <c r="P262" s="98"/>
    </row>
    <row r="263">
      <c r="G263" s="156"/>
      <c r="K263" s="98"/>
      <c r="P263" s="98"/>
    </row>
    <row r="264">
      <c r="G264" s="156"/>
      <c r="K264" s="98"/>
      <c r="P264" s="98"/>
    </row>
    <row r="265">
      <c r="G265" s="156"/>
      <c r="K265" s="98"/>
      <c r="P265" s="98"/>
    </row>
    <row r="266">
      <c r="G266" s="156"/>
      <c r="K266" s="98"/>
      <c r="P266" s="98"/>
    </row>
    <row r="267">
      <c r="G267" s="156"/>
      <c r="K267" s="98"/>
      <c r="P267" s="98"/>
    </row>
    <row r="268">
      <c r="G268" s="156"/>
      <c r="K268" s="98"/>
      <c r="P268" s="98"/>
    </row>
    <row r="269">
      <c r="G269" s="156"/>
      <c r="K269" s="98"/>
      <c r="P269" s="98"/>
    </row>
    <row r="270">
      <c r="G270" s="156"/>
      <c r="K270" s="98"/>
      <c r="P270" s="98"/>
    </row>
    <row r="271">
      <c r="G271" s="156"/>
      <c r="K271" s="98"/>
      <c r="P271" s="98"/>
    </row>
    <row r="272">
      <c r="G272" s="156"/>
      <c r="K272" s="98"/>
      <c r="P272" s="98"/>
    </row>
    <row r="273">
      <c r="G273" s="156"/>
      <c r="K273" s="98"/>
      <c r="P273" s="98"/>
    </row>
    <row r="274">
      <c r="G274" s="156"/>
      <c r="K274" s="98"/>
      <c r="P274" s="98"/>
    </row>
    <row r="275">
      <c r="G275" s="156"/>
      <c r="K275" s="98"/>
      <c r="P275" s="98"/>
    </row>
    <row r="276">
      <c r="G276" s="156"/>
      <c r="K276" s="98"/>
      <c r="P276" s="98"/>
    </row>
    <row r="277">
      <c r="G277" s="156"/>
      <c r="K277" s="98"/>
      <c r="P277" s="98"/>
    </row>
    <row r="278">
      <c r="G278" s="156"/>
      <c r="K278" s="98"/>
      <c r="P278" s="98"/>
    </row>
    <row r="279">
      <c r="G279" s="156"/>
      <c r="K279" s="98"/>
      <c r="P279" s="98"/>
    </row>
    <row r="280">
      <c r="G280" s="156"/>
      <c r="K280" s="98"/>
      <c r="P280" s="98"/>
    </row>
    <row r="281">
      <c r="G281" s="156"/>
      <c r="K281" s="98"/>
      <c r="P281" s="98"/>
    </row>
    <row r="282">
      <c r="G282" s="156"/>
      <c r="K282" s="98"/>
      <c r="P282" s="98"/>
    </row>
    <row r="283">
      <c r="G283" s="156"/>
      <c r="K283" s="98"/>
      <c r="P283" s="98"/>
    </row>
    <row r="284">
      <c r="G284" s="156"/>
      <c r="K284" s="98"/>
      <c r="P284" s="98"/>
    </row>
    <row r="285">
      <c r="G285" s="156"/>
      <c r="K285" s="98"/>
      <c r="P285" s="98"/>
    </row>
    <row r="286">
      <c r="G286" s="156"/>
      <c r="K286" s="98"/>
      <c r="P286" s="98"/>
    </row>
    <row r="287">
      <c r="G287" s="156"/>
      <c r="K287" s="98"/>
      <c r="P287" s="98"/>
    </row>
    <row r="288">
      <c r="G288" s="156"/>
      <c r="K288" s="98"/>
      <c r="P288" s="98"/>
    </row>
    <row r="289">
      <c r="G289" s="156"/>
      <c r="K289" s="98"/>
      <c r="P289" s="98"/>
    </row>
    <row r="290">
      <c r="G290" s="156"/>
      <c r="K290" s="98"/>
      <c r="P290" s="98"/>
    </row>
    <row r="291">
      <c r="G291" s="156"/>
      <c r="K291" s="98"/>
      <c r="P291" s="98"/>
    </row>
    <row r="292">
      <c r="G292" s="156"/>
      <c r="K292" s="98"/>
      <c r="P292" s="98"/>
    </row>
    <row r="293">
      <c r="G293" s="156"/>
      <c r="K293" s="98"/>
      <c r="P293" s="98"/>
    </row>
    <row r="294">
      <c r="G294" s="156"/>
      <c r="K294" s="98"/>
      <c r="P294" s="98"/>
    </row>
    <row r="295">
      <c r="G295" s="156"/>
      <c r="K295" s="98"/>
      <c r="P295" s="98"/>
    </row>
    <row r="296">
      <c r="G296" s="156"/>
      <c r="K296" s="98"/>
      <c r="P296" s="98"/>
    </row>
    <row r="297">
      <c r="G297" s="156"/>
      <c r="K297" s="98"/>
      <c r="P297" s="98"/>
    </row>
    <row r="298">
      <c r="G298" s="156"/>
      <c r="K298" s="98"/>
      <c r="P298" s="98"/>
    </row>
    <row r="299">
      <c r="G299" s="156"/>
      <c r="K299" s="98"/>
      <c r="P299" s="98"/>
    </row>
    <row r="300">
      <c r="G300" s="156"/>
      <c r="K300" s="98"/>
      <c r="P300" s="98"/>
    </row>
    <row r="301">
      <c r="G301" s="156"/>
      <c r="K301" s="98"/>
      <c r="P301" s="98"/>
    </row>
    <row r="302">
      <c r="G302" s="156"/>
      <c r="K302" s="98"/>
      <c r="P302" s="98"/>
    </row>
    <row r="303">
      <c r="G303" s="156"/>
      <c r="K303" s="98"/>
      <c r="P303" s="98"/>
    </row>
    <row r="304">
      <c r="G304" s="156"/>
      <c r="K304" s="98"/>
      <c r="P304" s="98"/>
    </row>
    <row r="305">
      <c r="G305" s="156"/>
      <c r="K305" s="98"/>
      <c r="P305" s="98"/>
    </row>
    <row r="306">
      <c r="G306" s="156"/>
      <c r="K306" s="98"/>
      <c r="P306" s="98"/>
    </row>
    <row r="307">
      <c r="G307" s="156"/>
      <c r="K307" s="98"/>
      <c r="P307" s="98"/>
    </row>
    <row r="308">
      <c r="G308" s="156"/>
      <c r="K308" s="98"/>
      <c r="P308" s="98"/>
    </row>
    <row r="309">
      <c r="G309" s="156"/>
      <c r="K309" s="98"/>
      <c r="P309" s="98"/>
    </row>
    <row r="310">
      <c r="G310" s="156"/>
      <c r="K310" s="98"/>
      <c r="P310" s="98"/>
    </row>
    <row r="311">
      <c r="G311" s="156"/>
      <c r="K311" s="98"/>
      <c r="P311" s="98"/>
    </row>
    <row r="312">
      <c r="G312" s="156"/>
      <c r="K312" s="98"/>
      <c r="P312" s="98"/>
    </row>
    <row r="313">
      <c r="G313" s="156"/>
      <c r="K313" s="98"/>
      <c r="P313" s="98"/>
    </row>
    <row r="314">
      <c r="G314" s="156"/>
      <c r="K314" s="98"/>
      <c r="P314" s="98"/>
    </row>
    <row r="315">
      <c r="G315" s="156"/>
      <c r="K315" s="98"/>
      <c r="P315" s="98"/>
    </row>
    <row r="316">
      <c r="G316" s="156"/>
      <c r="K316" s="98"/>
      <c r="P316" s="98"/>
    </row>
    <row r="317">
      <c r="G317" s="156"/>
      <c r="K317" s="98"/>
      <c r="P317" s="98"/>
    </row>
    <row r="318">
      <c r="G318" s="156"/>
      <c r="K318" s="98"/>
      <c r="P318" s="98"/>
    </row>
    <row r="319">
      <c r="G319" s="156"/>
      <c r="K319" s="98"/>
      <c r="P319" s="98"/>
    </row>
    <row r="320">
      <c r="G320" s="156"/>
      <c r="K320" s="98"/>
      <c r="P320" s="98"/>
    </row>
    <row r="321">
      <c r="G321" s="156"/>
      <c r="K321" s="98"/>
      <c r="P321" s="98"/>
    </row>
    <row r="322">
      <c r="G322" s="156"/>
      <c r="K322" s="98"/>
      <c r="P322" s="98"/>
    </row>
    <row r="323">
      <c r="G323" s="156"/>
      <c r="K323" s="98"/>
      <c r="P323" s="98"/>
    </row>
    <row r="324">
      <c r="G324" s="156"/>
      <c r="K324" s="98"/>
      <c r="P324" s="98"/>
    </row>
    <row r="325">
      <c r="G325" s="156"/>
      <c r="K325" s="98"/>
      <c r="P325" s="98"/>
    </row>
    <row r="326">
      <c r="G326" s="156"/>
      <c r="K326" s="98"/>
      <c r="P326" s="98"/>
    </row>
    <row r="327">
      <c r="G327" s="156"/>
      <c r="K327" s="98"/>
      <c r="P327" s="98"/>
    </row>
    <row r="328">
      <c r="G328" s="156"/>
      <c r="K328" s="98"/>
      <c r="P328" s="98"/>
    </row>
    <row r="329">
      <c r="G329" s="156"/>
      <c r="K329" s="98"/>
      <c r="P329" s="98"/>
    </row>
    <row r="330">
      <c r="G330" s="156"/>
      <c r="K330" s="98"/>
      <c r="P330" s="98"/>
    </row>
    <row r="331">
      <c r="G331" s="156"/>
      <c r="K331" s="98"/>
      <c r="P331" s="98"/>
    </row>
    <row r="332">
      <c r="G332" s="156"/>
      <c r="K332" s="98"/>
      <c r="P332" s="98"/>
    </row>
    <row r="333">
      <c r="G333" s="156"/>
      <c r="K333" s="98"/>
      <c r="P333" s="98"/>
    </row>
    <row r="334">
      <c r="G334" s="156"/>
      <c r="K334" s="98"/>
      <c r="P334" s="98"/>
    </row>
    <row r="335">
      <c r="G335" s="156"/>
      <c r="K335" s="98"/>
      <c r="P335" s="98"/>
    </row>
    <row r="336">
      <c r="G336" s="156"/>
      <c r="K336" s="98"/>
      <c r="P336" s="98"/>
    </row>
    <row r="337">
      <c r="G337" s="156"/>
      <c r="K337" s="98"/>
      <c r="P337" s="98"/>
    </row>
    <row r="338">
      <c r="G338" s="156"/>
      <c r="K338" s="98"/>
      <c r="P338" s="98"/>
    </row>
    <row r="339">
      <c r="G339" s="156"/>
      <c r="K339" s="98"/>
      <c r="P339" s="98"/>
    </row>
    <row r="340">
      <c r="G340" s="156"/>
      <c r="K340" s="98"/>
      <c r="P340" s="98"/>
    </row>
    <row r="341">
      <c r="G341" s="156"/>
      <c r="K341" s="98"/>
      <c r="P341" s="98"/>
    </row>
    <row r="342">
      <c r="G342" s="156"/>
      <c r="K342" s="98"/>
      <c r="P342" s="98"/>
    </row>
    <row r="343">
      <c r="G343" s="156"/>
      <c r="K343" s="98"/>
      <c r="P343" s="98"/>
    </row>
    <row r="344">
      <c r="G344" s="156"/>
      <c r="K344" s="98"/>
      <c r="P344" s="98"/>
    </row>
    <row r="345">
      <c r="G345" s="156"/>
      <c r="K345" s="98"/>
      <c r="P345" s="98"/>
    </row>
    <row r="346">
      <c r="G346" s="156"/>
      <c r="K346" s="98"/>
      <c r="P346" s="98"/>
    </row>
    <row r="347">
      <c r="G347" s="156"/>
      <c r="K347" s="98"/>
      <c r="P347" s="98"/>
    </row>
    <row r="348">
      <c r="G348" s="156"/>
      <c r="K348" s="98"/>
      <c r="P348" s="98"/>
    </row>
    <row r="349">
      <c r="G349" s="156"/>
      <c r="K349" s="98"/>
      <c r="P349" s="98"/>
    </row>
    <row r="350">
      <c r="G350" s="156"/>
      <c r="K350" s="98"/>
      <c r="P350" s="98"/>
    </row>
    <row r="351">
      <c r="G351" s="156"/>
      <c r="K351" s="98"/>
      <c r="P351" s="98"/>
    </row>
    <row r="352">
      <c r="G352" s="156"/>
      <c r="K352" s="98"/>
      <c r="P352" s="98"/>
    </row>
    <row r="353">
      <c r="G353" s="156"/>
      <c r="K353" s="98"/>
      <c r="P353" s="98"/>
    </row>
    <row r="354">
      <c r="G354" s="156"/>
      <c r="K354" s="98"/>
      <c r="P354" s="98"/>
    </row>
    <row r="355">
      <c r="G355" s="156"/>
      <c r="K355" s="98"/>
      <c r="P355" s="98"/>
    </row>
    <row r="356">
      <c r="G356" s="156"/>
      <c r="K356" s="98"/>
      <c r="P356" s="98"/>
    </row>
    <row r="357">
      <c r="G357" s="156"/>
      <c r="K357" s="98"/>
      <c r="P357" s="98"/>
    </row>
    <row r="358">
      <c r="G358" s="156"/>
      <c r="K358" s="98"/>
      <c r="P358" s="98"/>
    </row>
    <row r="359">
      <c r="G359" s="156"/>
      <c r="K359" s="98"/>
      <c r="P359" s="98"/>
    </row>
    <row r="360">
      <c r="G360" s="156"/>
      <c r="K360" s="98"/>
      <c r="P360" s="98"/>
    </row>
    <row r="361">
      <c r="G361" s="156"/>
      <c r="K361" s="98"/>
      <c r="P361" s="98"/>
    </row>
    <row r="362">
      <c r="G362" s="156"/>
      <c r="K362" s="98"/>
      <c r="P362" s="98"/>
    </row>
    <row r="363">
      <c r="G363" s="156"/>
      <c r="K363" s="98"/>
      <c r="P363" s="98"/>
    </row>
    <row r="364">
      <c r="G364" s="156"/>
      <c r="K364" s="98"/>
      <c r="P364" s="98"/>
    </row>
    <row r="365">
      <c r="G365" s="156"/>
      <c r="K365" s="98"/>
      <c r="P365" s="98"/>
    </row>
    <row r="366">
      <c r="G366" s="156"/>
      <c r="K366" s="98"/>
      <c r="P366" s="98"/>
    </row>
    <row r="367">
      <c r="G367" s="156"/>
      <c r="K367" s="98"/>
      <c r="P367" s="98"/>
    </row>
    <row r="368">
      <c r="G368" s="156"/>
      <c r="K368" s="98"/>
      <c r="P368" s="98"/>
    </row>
    <row r="369">
      <c r="G369" s="156"/>
      <c r="K369" s="98"/>
      <c r="P369" s="98"/>
    </row>
    <row r="370">
      <c r="G370" s="156"/>
      <c r="K370" s="98"/>
      <c r="P370" s="98"/>
    </row>
    <row r="371">
      <c r="G371" s="156"/>
      <c r="K371" s="98"/>
      <c r="P371" s="98"/>
    </row>
    <row r="372">
      <c r="G372" s="156"/>
      <c r="K372" s="98"/>
      <c r="P372" s="98"/>
    </row>
    <row r="373">
      <c r="G373" s="156"/>
      <c r="K373" s="98"/>
      <c r="P373" s="98"/>
    </row>
    <row r="374">
      <c r="G374" s="156"/>
      <c r="K374" s="98"/>
      <c r="P374" s="98"/>
    </row>
    <row r="375">
      <c r="G375" s="156"/>
      <c r="K375" s="98"/>
      <c r="P375" s="98"/>
    </row>
    <row r="376">
      <c r="G376" s="156"/>
      <c r="K376" s="98"/>
      <c r="P376" s="98"/>
    </row>
    <row r="377">
      <c r="G377" s="156"/>
      <c r="K377" s="98"/>
      <c r="P377" s="98"/>
    </row>
    <row r="378">
      <c r="G378" s="156"/>
      <c r="K378" s="98"/>
      <c r="P378" s="98"/>
    </row>
    <row r="379">
      <c r="G379" s="156"/>
      <c r="K379" s="98"/>
      <c r="P379" s="98"/>
    </row>
    <row r="380">
      <c r="G380" s="156"/>
      <c r="K380" s="98"/>
      <c r="P380" s="98"/>
    </row>
    <row r="381">
      <c r="G381" s="156"/>
      <c r="K381" s="98"/>
      <c r="P381" s="98"/>
    </row>
    <row r="382">
      <c r="G382" s="156"/>
      <c r="K382" s="98"/>
      <c r="P382" s="98"/>
    </row>
    <row r="383">
      <c r="G383" s="156"/>
      <c r="K383" s="98"/>
      <c r="P383" s="98"/>
    </row>
    <row r="384">
      <c r="G384" s="156"/>
      <c r="K384" s="98"/>
      <c r="P384" s="98"/>
    </row>
    <row r="385">
      <c r="G385" s="156"/>
      <c r="K385" s="98"/>
      <c r="P385" s="98"/>
    </row>
    <row r="386">
      <c r="G386" s="156"/>
      <c r="K386" s="98"/>
      <c r="P386" s="98"/>
    </row>
    <row r="387">
      <c r="G387" s="156"/>
      <c r="K387" s="98"/>
      <c r="P387" s="98"/>
    </row>
    <row r="388">
      <c r="G388" s="156"/>
      <c r="K388" s="98"/>
      <c r="P388" s="98"/>
    </row>
    <row r="389">
      <c r="G389" s="156"/>
      <c r="K389" s="98"/>
      <c r="P389" s="98"/>
    </row>
    <row r="390">
      <c r="G390" s="156"/>
      <c r="K390" s="98"/>
      <c r="P390" s="98"/>
    </row>
    <row r="391">
      <c r="G391" s="156"/>
      <c r="K391" s="98"/>
      <c r="P391" s="98"/>
    </row>
    <row r="392">
      <c r="G392" s="156"/>
      <c r="K392" s="98"/>
      <c r="P392" s="98"/>
    </row>
    <row r="393">
      <c r="G393" s="156"/>
      <c r="K393" s="98"/>
      <c r="P393" s="98"/>
    </row>
    <row r="394">
      <c r="G394" s="156"/>
      <c r="K394" s="98"/>
      <c r="P394" s="98"/>
    </row>
    <row r="395">
      <c r="G395" s="156"/>
      <c r="K395" s="98"/>
      <c r="P395" s="98"/>
    </row>
    <row r="396">
      <c r="G396" s="156"/>
      <c r="K396" s="98"/>
      <c r="P396" s="98"/>
    </row>
    <row r="397">
      <c r="G397" s="156"/>
      <c r="K397" s="98"/>
      <c r="P397" s="98"/>
    </row>
    <row r="398">
      <c r="G398" s="156"/>
      <c r="K398" s="98"/>
      <c r="P398" s="98"/>
    </row>
    <row r="399">
      <c r="G399" s="156"/>
      <c r="K399" s="98"/>
      <c r="P399" s="98"/>
    </row>
    <row r="400">
      <c r="G400" s="156"/>
      <c r="K400" s="98"/>
      <c r="P400" s="98"/>
    </row>
    <row r="401">
      <c r="G401" s="156"/>
      <c r="K401" s="98"/>
      <c r="P401" s="98"/>
    </row>
    <row r="402">
      <c r="G402" s="156"/>
      <c r="K402" s="98"/>
      <c r="P402" s="98"/>
    </row>
    <row r="403">
      <c r="G403" s="156"/>
      <c r="K403" s="98"/>
      <c r="P403" s="98"/>
    </row>
    <row r="404">
      <c r="G404" s="156"/>
      <c r="K404" s="98"/>
      <c r="P404" s="98"/>
    </row>
    <row r="405">
      <c r="G405" s="156"/>
      <c r="K405" s="98"/>
      <c r="P405" s="98"/>
    </row>
    <row r="406">
      <c r="G406" s="156"/>
      <c r="K406" s="98"/>
      <c r="P406" s="98"/>
    </row>
    <row r="407">
      <c r="G407" s="156"/>
      <c r="K407" s="98"/>
      <c r="P407" s="98"/>
    </row>
    <row r="408">
      <c r="G408" s="156"/>
      <c r="K408" s="98"/>
      <c r="P408" s="98"/>
    </row>
    <row r="409">
      <c r="G409" s="156"/>
      <c r="K409" s="98"/>
      <c r="P409" s="98"/>
    </row>
    <row r="410">
      <c r="G410" s="156"/>
      <c r="K410" s="98"/>
      <c r="P410" s="98"/>
    </row>
    <row r="411">
      <c r="G411" s="156"/>
      <c r="K411" s="98"/>
      <c r="P411" s="98"/>
    </row>
    <row r="412">
      <c r="G412" s="156"/>
      <c r="K412" s="98"/>
      <c r="P412" s="98"/>
    </row>
    <row r="413">
      <c r="G413" s="156"/>
      <c r="K413" s="98"/>
      <c r="P413" s="98"/>
    </row>
    <row r="414">
      <c r="G414" s="156"/>
      <c r="K414" s="98"/>
      <c r="P414" s="98"/>
    </row>
    <row r="415">
      <c r="G415" s="156"/>
      <c r="K415" s="98"/>
      <c r="P415" s="98"/>
    </row>
    <row r="416">
      <c r="G416" s="156"/>
      <c r="K416" s="98"/>
      <c r="P416" s="98"/>
    </row>
    <row r="417">
      <c r="G417" s="156"/>
      <c r="K417" s="98"/>
      <c r="P417" s="98"/>
    </row>
    <row r="418">
      <c r="G418" s="156"/>
      <c r="K418" s="98"/>
      <c r="P418" s="98"/>
    </row>
    <row r="419">
      <c r="G419" s="156"/>
      <c r="K419" s="98"/>
      <c r="P419" s="98"/>
    </row>
    <row r="420">
      <c r="G420" s="156"/>
      <c r="K420" s="98"/>
      <c r="P420" s="98"/>
    </row>
    <row r="421">
      <c r="G421" s="156"/>
      <c r="K421" s="98"/>
      <c r="P421" s="98"/>
    </row>
    <row r="422">
      <c r="G422" s="156"/>
      <c r="K422" s="98"/>
      <c r="P422" s="98"/>
    </row>
    <row r="423">
      <c r="G423" s="156"/>
      <c r="K423" s="98"/>
      <c r="P423" s="98"/>
    </row>
    <row r="424">
      <c r="G424" s="156"/>
      <c r="K424" s="98"/>
      <c r="P424" s="98"/>
    </row>
    <row r="425">
      <c r="G425" s="156"/>
      <c r="K425" s="98"/>
      <c r="P425" s="98"/>
    </row>
    <row r="426">
      <c r="G426" s="156"/>
      <c r="K426" s="98"/>
      <c r="P426" s="98"/>
    </row>
    <row r="427">
      <c r="G427" s="156"/>
      <c r="K427" s="98"/>
      <c r="P427" s="98"/>
    </row>
    <row r="428">
      <c r="G428" s="156"/>
      <c r="K428" s="98"/>
      <c r="P428" s="98"/>
    </row>
    <row r="429">
      <c r="G429" s="156"/>
      <c r="K429" s="98"/>
      <c r="P429" s="98"/>
    </row>
    <row r="430">
      <c r="G430" s="156"/>
      <c r="K430" s="98"/>
      <c r="P430" s="98"/>
    </row>
    <row r="431">
      <c r="G431" s="156"/>
      <c r="K431" s="98"/>
      <c r="P431" s="98"/>
    </row>
    <row r="432">
      <c r="G432" s="156"/>
      <c r="K432" s="98"/>
      <c r="P432" s="98"/>
    </row>
    <row r="433">
      <c r="G433" s="156"/>
      <c r="K433" s="98"/>
      <c r="P433" s="98"/>
    </row>
    <row r="434">
      <c r="G434" s="156"/>
      <c r="K434" s="98"/>
      <c r="P434" s="98"/>
    </row>
    <row r="435">
      <c r="G435" s="156"/>
      <c r="K435" s="98"/>
      <c r="P435" s="98"/>
    </row>
    <row r="436">
      <c r="G436" s="156"/>
      <c r="K436" s="98"/>
      <c r="P436" s="98"/>
    </row>
    <row r="437">
      <c r="G437" s="156"/>
      <c r="K437" s="98"/>
      <c r="P437" s="98"/>
    </row>
    <row r="438">
      <c r="G438" s="156"/>
      <c r="K438" s="98"/>
      <c r="P438" s="98"/>
    </row>
    <row r="439">
      <c r="G439" s="156"/>
      <c r="K439" s="98"/>
      <c r="P439" s="98"/>
    </row>
    <row r="440">
      <c r="G440" s="156"/>
      <c r="K440" s="98"/>
      <c r="P440" s="98"/>
    </row>
    <row r="441">
      <c r="G441" s="156"/>
      <c r="K441" s="98"/>
      <c r="P441" s="98"/>
    </row>
    <row r="442">
      <c r="G442" s="156"/>
      <c r="K442" s="98"/>
      <c r="P442" s="98"/>
    </row>
    <row r="443">
      <c r="G443" s="156"/>
      <c r="K443" s="98"/>
      <c r="P443" s="98"/>
    </row>
    <row r="444">
      <c r="G444" s="156"/>
      <c r="K444" s="98"/>
      <c r="P444" s="98"/>
    </row>
    <row r="445">
      <c r="G445" s="156"/>
      <c r="K445" s="98"/>
      <c r="P445" s="98"/>
    </row>
    <row r="446">
      <c r="G446" s="156"/>
      <c r="K446" s="98"/>
      <c r="P446" s="98"/>
    </row>
    <row r="447">
      <c r="G447" s="156"/>
      <c r="K447" s="98"/>
      <c r="P447" s="98"/>
    </row>
    <row r="448">
      <c r="G448" s="156"/>
      <c r="K448" s="98"/>
      <c r="P448" s="98"/>
    </row>
    <row r="449">
      <c r="G449" s="156"/>
      <c r="K449" s="98"/>
      <c r="P449" s="98"/>
    </row>
    <row r="450">
      <c r="G450" s="156"/>
      <c r="K450" s="98"/>
      <c r="P450" s="98"/>
    </row>
    <row r="451">
      <c r="G451" s="156"/>
      <c r="K451" s="98"/>
      <c r="P451" s="98"/>
    </row>
    <row r="452">
      <c r="G452" s="156"/>
      <c r="K452" s="98"/>
      <c r="P452" s="98"/>
    </row>
    <row r="453">
      <c r="G453" s="156"/>
      <c r="K453" s="98"/>
      <c r="P453" s="98"/>
    </row>
    <row r="454">
      <c r="G454" s="156"/>
      <c r="K454" s="98"/>
      <c r="P454" s="98"/>
    </row>
    <row r="455">
      <c r="G455" s="156"/>
      <c r="K455" s="98"/>
      <c r="P455" s="98"/>
    </row>
    <row r="456">
      <c r="G456" s="156"/>
      <c r="K456" s="98"/>
      <c r="P456" s="98"/>
    </row>
    <row r="457">
      <c r="G457" s="156"/>
      <c r="K457" s="98"/>
      <c r="P457" s="98"/>
    </row>
    <row r="458">
      <c r="G458" s="156"/>
      <c r="K458" s="98"/>
      <c r="P458" s="98"/>
    </row>
    <row r="459">
      <c r="G459" s="156"/>
      <c r="K459" s="98"/>
      <c r="P459" s="98"/>
    </row>
    <row r="460">
      <c r="G460" s="156"/>
      <c r="K460" s="98"/>
      <c r="P460" s="98"/>
    </row>
    <row r="461">
      <c r="G461" s="156"/>
      <c r="K461" s="98"/>
      <c r="P461" s="98"/>
    </row>
    <row r="462">
      <c r="G462" s="156"/>
      <c r="K462" s="98"/>
      <c r="P462" s="98"/>
    </row>
    <row r="463">
      <c r="G463" s="156"/>
      <c r="K463" s="98"/>
      <c r="P463" s="98"/>
    </row>
    <row r="464">
      <c r="G464" s="156"/>
      <c r="K464" s="98"/>
      <c r="P464" s="98"/>
    </row>
    <row r="465">
      <c r="G465" s="156"/>
      <c r="K465" s="98"/>
      <c r="P465" s="98"/>
    </row>
    <row r="466">
      <c r="G466" s="156"/>
      <c r="K466" s="98"/>
      <c r="P466" s="98"/>
    </row>
    <row r="467">
      <c r="G467" s="156"/>
      <c r="K467" s="98"/>
      <c r="P467" s="98"/>
    </row>
    <row r="468">
      <c r="G468" s="156"/>
      <c r="K468" s="98"/>
      <c r="P468" s="98"/>
    </row>
    <row r="469">
      <c r="G469" s="156"/>
      <c r="K469" s="98"/>
      <c r="P469" s="98"/>
    </row>
    <row r="470">
      <c r="G470" s="156"/>
      <c r="K470" s="98"/>
      <c r="P470" s="98"/>
    </row>
    <row r="471">
      <c r="G471" s="156"/>
      <c r="K471" s="98"/>
      <c r="P471" s="98"/>
    </row>
    <row r="472">
      <c r="G472" s="156"/>
      <c r="K472" s="98"/>
      <c r="P472" s="98"/>
    </row>
    <row r="473">
      <c r="G473" s="156"/>
      <c r="K473" s="98"/>
      <c r="P473" s="98"/>
    </row>
    <row r="474">
      <c r="G474" s="156"/>
      <c r="K474" s="98"/>
      <c r="P474" s="98"/>
    </row>
    <row r="475">
      <c r="G475" s="156"/>
      <c r="K475" s="98"/>
      <c r="P475" s="98"/>
    </row>
    <row r="476">
      <c r="G476" s="156"/>
      <c r="K476" s="98"/>
      <c r="P476" s="98"/>
    </row>
    <row r="477">
      <c r="G477" s="156"/>
      <c r="K477" s="98"/>
      <c r="P477" s="98"/>
    </row>
    <row r="478">
      <c r="G478" s="156"/>
      <c r="K478" s="98"/>
      <c r="P478" s="98"/>
    </row>
    <row r="479">
      <c r="G479" s="156"/>
      <c r="K479" s="98"/>
      <c r="P479" s="98"/>
    </row>
    <row r="480">
      <c r="G480" s="156"/>
      <c r="K480" s="98"/>
      <c r="P480" s="98"/>
    </row>
    <row r="481">
      <c r="G481" s="156"/>
      <c r="K481" s="98"/>
      <c r="P481" s="98"/>
    </row>
    <row r="482">
      <c r="G482" s="156"/>
      <c r="K482" s="98"/>
      <c r="P482" s="98"/>
    </row>
    <row r="483">
      <c r="G483" s="156"/>
      <c r="K483" s="98"/>
      <c r="P483" s="98"/>
    </row>
    <row r="484">
      <c r="G484" s="156"/>
      <c r="K484" s="98"/>
      <c r="P484" s="98"/>
    </row>
    <row r="485">
      <c r="G485" s="156"/>
      <c r="K485" s="98"/>
      <c r="P485" s="98"/>
    </row>
    <row r="486">
      <c r="G486" s="156"/>
      <c r="K486" s="98"/>
      <c r="P486" s="98"/>
    </row>
    <row r="487">
      <c r="G487" s="156"/>
      <c r="K487" s="98"/>
      <c r="P487" s="98"/>
    </row>
    <row r="488">
      <c r="G488" s="156"/>
      <c r="K488" s="98"/>
      <c r="P488" s="98"/>
    </row>
    <row r="489">
      <c r="G489" s="156"/>
      <c r="K489" s="98"/>
      <c r="P489" s="98"/>
    </row>
    <row r="490">
      <c r="G490" s="156"/>
      <c r="K490" s="98"/>
      <c r="P490" s="98"/>
    </row>
    <row r="491">
      <c r="G491" s="156"/>
      <c r="K491" s="98"/>
      <c r="P491" s="98"/>
    </row>
    <row r="492">
      <c r="G492" s="156"/>
      <c r="K492" s="98"/>
      <c r="P492" s="98"/>
    </row>
    <row r="493">
      <c r="G493" s="156"/>
      <c r="K493" s="98"/>
      <c r="P493" s="98"/>
    </row>
    <row r="494">
      <c r="G494" s="156"/>
      <c r="K494" s="98"/>
      <c r="P494" s="98"/>
    </row>
    <row r="495">
      <c r="G495" s="156"/>
      <c r="K495" s="98"/>
      <c r="P495" s="98"/>
    </row>
    <row r="496">
      <c r="G496" s="156"/>
      <c r="K496" s="98"/>
      <c r="P496" s="98"/>
    </row>
    <row r="497">
      <c r="G497" s="156"/>
      <c r="K497" s="98"/>
      <c r="P497" s="98"/>
    </row>
    <row r="498">
      <c r="G498" s="156"/>
      <c r="K498" s="98"/>
      <c r="P498" s="98"/>
    </row>
    <row r="499">
      <c r="G499" s="156"/>
      <c r="K499" s="98"/>
      <c r="P499" s="98"/>
    </row>
    <row r="500">
      <c r="G500" s="156"/>
      <c r="K500" s="98"/>
      <c r="P500" s="98"/>
    </row>
    <row r="501">
      <c r="G501" s="156"/>
      <c r="K501" s="98"/>
      <c r="P501" s="98"/>
    </row>
    <row r="502">
      <c r="G502" s="156"/>
      <c r="K502" s="98"/>
      <c r="P502" s="98"/>
    </row>
    <row r="503">
      <c r="G503" s="156"/>
      <c r="K503" s="98"/>
      <c r="P503" s="98"/>
    </row>
    <row r="504">
      <c r="G504" s="156"/>
      <c r="K504" s="98"/>
      <c r="P504" s="98"/>
    </row>
    <row r="505">
      <c r="G505" s="156"/>
      <c r="K505" s="98"/>
      <c r="P505" s="98"/>
    </row>
    <row r="506">
      <c r="G506" s="156"/>
      <c r="K506" s="98"/>
      <c r="P506" s="98"/>
    </row>
    <row r="507">
      <c r="G507" s="156"/>
      <c r="K507" s="98"/>
      <c r="P507" s="98"/>
    </row>
    <row r="508">
      <c r="G508" s="156"/>
      <c r="K508" s="98"/>
      <c r="P508" s="98"/>
    </row>
    <row r="509">
      <c r="G509" s="156"/>
      <c r="K509" s="98"/>
      <c r="P509" s="98"/>
    </row>
    <row r="510">
      <c r="G510" s="156"/>
      <c r="K510" s="98"/>
      <c r="P510" s="98"/>
    </row>
    <row r="511">
      <c r="G511" s="156"/>
      <c r="K511" s="98"/>
      <c r="P511" s="98"/>
    </row>
    <row r="512">
      <c r="G512" s="156"/>
      <c r="K512" s="98"/>
      <c r="P512" s="98"/>
    </row>
    <row r="513">
      <c r="G513" s="156"/>
      <c r="K513" s="98"/>
      <c r="P513" s="98"/>
    </row>
    <row r="514">
      <c r="G514" s="156"/>
      <c r="K514" s="98"/>
      <c r="P514" s="98"/>
    </row>
    <row r="515">
      <c r="G515" s="156"/>
      <c r="K515" s="98"/>
      <c r="P515" s="98"/>
    </row>
    <row r="516">
      <c r="G516" s="156"/>
      <c r="K516" s="98"/>
      <c r="P516" s="98"/>
    </row>
    <row r="517">
      <c r="G517" s="156"/>
      <c r="K517" s="98"/>
      <c r="P517" s="98"/>
    </row>
    <row r="518">
      <c r="G518" s="156"/>
      <c r="K518" s="98"/>
      <c r="P518" s="98"/>
    </row>
    <row r="519">
      <c r="G519" s="156"/>
      <c r="K519" s="98"/>
      <c r="P519" s="98"/>
    </row>
    <row r="520">
      <c r="G520" s="156"/>
      <c r="K520" s="98"/>
      <c r="P520" s="98"/>
    </row>
    <row r="521">
      <c r="G521" s="156"/>
      <c r="K521" s="98"/>
      <c r="P521" s="98"/>
    </row>
    <row r="522">
      <c r="G522" s="156"/>
      <c r="K522" s="98"/>
      <c r="P522" s="98"/>
    </row>
    <row r="523">
      <c r="G523" s="156"/>
      <c r="K523" s="98"/>
      <c r="P523" s="98"/>
    </row>
    <row r="524">
      <c r="G524" s="156"/>
      <c r="K524" s="98"/>
      <c r="P524" s="98"/>
    </row>
    <row r="525">
      <c r="G525" s="156"/>
      <c r="K525" s="98"/>
      <c r="P525" s="98"/>
    </row>
    <row r="526">
      <c r="G526" s="156"/>
      <c r="K526" s="98"/>
      <c r="P526" s="98"/>
    </row>
    <row r="527">
      <c r="G527" s="156"/>
      <c r="K527" s="98"/>
      <c r="P527" s="98"/>
    </row>
    <row r="528">
      <c r="G528" s="156"/>
      <c r="K528" s="98"/>
      <c r="P528" s="98"/>
    </row>
    <row r="529">
      <c r="G529" s="156"/>
      <c r="K529" s="98"/>
      <c r="P529" s="98"/>
    </row>
    <row r="530">
      <c r="G530" s="156"/>
      <c r="K530" s="98"/>
      <c r="P530" s="98"/>
    </row>
    <row r="531">
      <c r="G531" s="156"/>
      <c r="K531" s="98"/>
      <c r="P531" s="98"/>
    </row>
    <row r="532">
      <c r="G532" s="156"/>
      <c r="K532" s="98"/>
      <c r="P532" s="98"/>
    </row>
    <row r="533">
      <c r="G533" s="156"/>
      <c r="K533" s="98"/>
      <c r="P533" s="98"/>
    </row>
    <row r="534">
      <c r="G534" s="156"/>
      <c r="K534" s="98"/>
      <c r="P534" s="98"/>
    </row>
    <row r="535">
      <c r="G535" s="156"/>
      <c r="K535" s="98"/>
      <c r="P535" s="98"/>
    </row>
    <row r="536">
      <c r="G536" s="156"/>
      <c r="K536" s="98"/>
      <c r="P536" s="98"/>
    </row>
    <row r="537">
      <c r="G537" s="156"/>
      <c r="K537" s="98"/>
      <c r="P537" s="98"/>
    </row>
    <row r="538">
      <c r="G538" s="156"/>
      <c r="K538" s="98"/>
      <c r="P538" s="98"/>
    </row>
    <row r="539">
      <c r="G539" s="156"/>
      <c r="K539" s="98"/>
      <c r="P539" s="98"/>
    </row>
    <row r="540">
      <c r="G540" s="156"/>
      <c r="K540" s="98"/>
      <c r="P540" s="98"/>
    </row>
    <row r="541">
      <c r="G541" s="156"/>
      <c r="K541" s="98"/>
      <c r="P541" s="98"/>
    </row>
    <row r="542">
      <c r="G542" s="156"/>
      <c r="K542" s="98"/>
      <c r="P542" s="98"/>
    </row>
    <row r="543">
      <c r="G543" s="156"/>
      <c r="K543" s="98"/>
      <c r="P543" s="98"/>
    </row>
    <row r="544">
      <c r="G544" s="156"/>
      <c r="K544" s="98"/>
      <c r="P544" s="98"/>
    </row>
    <row r="545">
      <c r="G545" s="156"/>
      <c r="K545" s="98"/>
      <c r="P545" s="98"/>
    </row>
    <row r="546">
      <c r="G546" s="156"/>
      <c r="K546" s="98"/>
      <c r="P546" s="98"/>
    </row>
    <row r="547">
      <c r="G547" s="156"/>
      <c r="K547" s="98"/>
      <c r="P547" s="98"/>
    </row>
    <row r="548">
      <c r="G548" s="156"/>
      <c r="K548" s="98"/>
      <c r="P548" s="98"/>
    </row>
    <row r="549">
      <c r="G549" s="156"/>
      <c r="K549" s="98"/>
      <c r="P549" s="98"/>
    </row>
    <row r="550">
      <c r="G550" s="156"/>
      <c r="K550" s="98"/>
      <c r="P550" s="98"/>
    </row>
    <row r="551">
      <c r="G551" s="156"/>
      <c r="K551" s="98"/>
      <c r="P551" s="98"/>
    </row>
    <row r="552">
      <c r="G552" s="156"/>
      <c r="K552" s="98"/>
      <c r="P552" s="98"/>
    </row>
    <row r="553">
      <c r="G553" s="156"/>
      <c r="K553" s="98"/>
      <c r="P553" s="98"/>
    </row>
    <row r="554">
      <c r="G554" s="156"/>
      <c r="K554" s="98"/>
      <c r="P554" s="98"/>
    </row>
    <row r="555">
      <c r="G555" s="156"/>
      <c r="K555" s="98"/>
      <c r="P555" s="98"/>
    </row>
    <row r="556">
      <c r="G556" s="156"/>
      <c r="K556" s="98"/>
      <c r="P556" s="98"/>
    </row>
    <row r="557">
      <c r="G557" s="156"/>
      <c r="K557" s="98"/>
      <c r="P557" s="98"/>
    </row>
    <row r="558">
      <c r="G558" s="156"/>
      <c r="K558" s="98"/>
      <c r="P558" s="98"/>
    </row>
    <row r="559">
      <c r="G559" s="156"/>
      <c r="K559" s="98"/>
      <c r="P559" s="98"/>
    </row>
    <row r="560">
      <c r="G560" s="156"/>
      <c r="K560" s="98"/>
      <c r="P560" s="98"/>
    </row>
    <row r="561">
      <c r="G561" s="156"/>
      <c r="K561" s="98"/>
      <c r="P561" s="98"/>
    </row>
    <row r="562">
      <c r="G562" s="156"/>
      <c r="K562" s="98"/>
      <c r="P562" s="98"/>
    </row>
    <row r="563">
      <c r="G563" s="156"/>
      <c r="K563" s="98"/>
      <c r="P563" s="98"/>
    </row>
    <row r="564">
      <c r="G564" s="156"/>
      <c r="K564" s="98"/>
      <c r="P564" s="98"/>
    </row>
    <row r="565">
      <c r="G565" s="156"/>
      <c r="K565" s="98"/>
      <c r="P565" s="98"/>
    </row>
    <row r="566">
      <c r="G566" s="156"/>
      <c r="K566" s="98"/>
      <c r="P566" s="98"/>
    </row>
    <row r="567">
      <c r="G567" s="156"/>
      <c r="K567" s="98"/>
      <c r="P567" s="98"/>
    </row>
    <row r="568">
      <c r="G568" s="156"/>
      <c r="K568" s="98"/>
      <c r="P568" s="98"/>
    </row>
    <row r="569">
      <c r="G569" s="156"/>
      <c r="K569" s="98"/>
      <c r="P569" s="98"/>
    </row>
    <row r="570">
      <c r="G570" s="156"/>
      <c r="K570" s="98"/>
      <c r="P570" s="98"/>
    </row>
    <row r="571">
      <c r="G571" s="156"/>
      <c r="K571" s="98"/>
      <c r="P571" s="98"/>
    </row>
    <row r="572">
      <c r="G572" s="156"/>
      <c r="K572" s="98"/>
      <c r="P572" s="98"/>
    </row>
    <row r="573">
      <c r="G573" s="156"/>
      <c r="K573" s="98"/>
      <c r="P573" s="98"/>
    </row>
    <row r="574">
      <c r="G574" s="156"/>
      <c r="K574" s="98"/>
      <c r="P574" s="98"/>
    </row>
    <row r="575">
      <c r="G575" s="156"/>
      <c r="K575" s="98"/>
      <c r="P575" s="98"/>
    </row>
    <row r="576">
      <c r="G576" s="156"/>
      <c r="K576" s="98"/>
      <c r="P576" s="98"/>
    </row>
    <row r="577">
      <c r="G577" s="156"/>
      <c r="K577" s="98"/>
      <c r="P577" s="98"/>
    </row>
    <row r="578">
      <c r="G578" s="156"/>
      <c r="K578" s="98"/>
      <c r="P578" s="98"/>
    </row>
    <row r="579">
      <c r="G579" s="156"/>
      <c r="K579" s="98"/>
      <c r="P579" s="98"/>
    </row>
    <row r="580">
      <c r="G580" s="156"/>
      <c r="K580" s="98"/>
      <c r="P580" s="98"/>
    </row>
    <row r="581">
      <c r="G581" s="156"/>
      <c r="K581" s="98"/>
      <c r="P581" s="98"/>
    </row>
    <row r="582">
      <c r="G582" s="156"/>
      <c r="K582" s="98"/>
      <c r="P582" s="98"/>
    </row>
    <row r="583">
      <c r="G583" s="156"/>
      <c r="K583" s="98"/>
      <c r="P583" s="98"/>
    </row>
    <row r="584">
      <c r="G584" s="156"/>
      <c r="K584" s="98"/>
      <c r="P584" s="98"/>
    </row>
    <row r="585">
      <c r="G585" s="156"/>
      <c r="K585" s="98"/>
      <c r="P585" s="98"/>
    </row>
    <row r="586">
      <c r="G586" s="156"/>
      <c r="K586" s="98"/>
      <c r="P586" s="98"/>
    </row>
    <row r="587">
      <c r="G587" s="156"/>
      <c r="K587" s="98"/>
      <c r="P587" s="98"/>
    </row>
    <row r="588">
      <c r="G588" s="156"/>
      <c r="K588" s="98"/>
      <c r="P588" s="98"/>
    </row>
    <row r="589">
      <c r="G589" s="156"/>
      <c r="K589" s="98"/>
      <c r="P589" s="98"/>
    </row>
    <row r="590">
      <c r="G590" s="156"/>
      <c r="K590" s="98"/>
      <c r="P590" s="98"/>
    </row>
    <row r="591">
      <c r="G591" s="156"/>
      <c r="K591" s="98"/>
      <c r="P591" s="98"/>
    </row>
    <row r="592">
      <c r="G592" s="156"/>
      <c r="K592" s="98"/>
      <c r="P592" s="98"/>
    </row>
    <row r="593">
      <c r="G593" s="156"/>
      <c r="K593" s="98"/>
      <c r="P593" s="98"/>
    </row>
    <row r="594">
      <c r="G594" s="156"/>
      <c r="K594" s="98"/>
      <c r="P594" s="98"/>
    </row>
    <row r="595">
      <c r="G595" s="156"/>
      <c r="K595" s="98"/>
      <c r="P595" s="98"/>
    </row>
    <row r="596">
      <c r="G596" s="156"/>
      <c r="K596" s="98"/>
      <c r="P596" s="98"/>
    </row>
    <row r="597">
      <c r="G597" s="156"/>
      <c r="K597" s="98"/>
      <c r="P597" s="98"/>
    </row>
    <row r="598">
      <c r="G598" s="156"/>
      <c r="K598" s="98"/>
      <c r="P598" s="98"/>
    </row>
    <row r="599">
      <c r="G599" s="156"/>
      <c r="K599" s="98"/>
      <c r="P599" s="98"/>
    </row>
    <row r="600">
      <c r="G600" s="156"/>
      <c r="K600" s="98"/>
      <c r="P600" s="98"/>
    </row>
    <row r="601">
      <c r="G601" s="156"/>
      <c r="K601" s="98"/>
      <c r="P601" s="98"/>
    </row>
    <row r="602">
      <c r="G602" s="156"/>
      <c r="K602" s="98"/>
      <c r="P602" s="98"/>
    </row>
    <row r="603">
      <c r="G603" s="156"/>
      <c r="K603" s="98"/>
      <c r="P603" s="98"/>
    </row>
    <row r="604">
      <c r="G604" s="156"/>
      <c r="K604" s="98"/>
      <c r="P604" s="98"/>
    </row>
    <row r="605">
      <c r="G605" s="156"/>
      <c r="K605" s="98"/>
      <c r="P605" s="98"/>
    </row>
    <row r="606">
      <c r="G606" s="156"/>
      <c r="K606" s="98"/>
      <c r="P606" s="98"/>
    </row>
    <row r="607">
      <c r="G607" s="156"/>
      <c r="K607" s="98"/>
      <c r="P607" s="98"/>
    </row>
    <row r="608">
      <c r="G608" s="156"/>
      <c r="K608" s="98"/>
      <c r="P608" s="98"/>
    </row>
    <row r="609">
      <c r="G609" s="156"/>
      <c r="K609" s="98"/>
      <c r="P609" s="98"/>
    </row>
    <row r="610">
      <c r="G610" s="156"/>
      <c r="K610" s="98"/>
      <c r="P610" s="98"/>
    </row>
    <row r="611">
      <c r="G611" s="156"/>
      <c r="K611" s="98"/>
      <c r="P611" s="98"/>
    </row>
    <row r="612">
      <c r="G612" s="156"/>
      <c r="K612" s="98"/>
      <c r="P612" s="98"/>
    </row>
    <row r="613">
      <c r="G613" s="156"/>
      <c r="K613" s="98"/>
      <c r="P613" s="98"/>
    </row>
    <row r="614">
      <c r="G614" s="156"/>
      <c r="K614" s="98"/>
      <c r="P614" s="98"/>
    </row>
    <row r="615">
      <c r="G615" s="156"/>
      <c r="K615" s="98"/>
      <c r="P615" s="98"/>
    </row>
    <row r="616">
      <c r="G616" s="156"/>
      <c r="K616" s="98"/>
      <c r="P616" s="98"/>
    </row>
    <row r="617">
      <c r="G617" s="156"/>
      <c r="K617" s="98"/>
      <c r="P617" s="98"/>
    </row>
    <row r="618">
      <c r="G618" s="156"/>
      <c r="K618" s="98"/>
      <c r="P618" s="98"/>
    </row>
    <row r="619">
      <c r="G619" s="156"/>
      <c r="K619" s="98"/>
      <c r="P619" s="98"/>
    </row>
    <row r="620">
      <c r="G620" s="156"/>
      <c r="K620" s="98"/>
      <c r="P620" s="98"/>
    </row>
    <row r="621">
      <c r="G621" s="156"/>
      <c r="K621" s="98"/>
      <c r="P621" s="98"/>
    </row>
    <row r="622">
      <c r="G622" s="156"/>
      <c r="K622" s="98"/>
      <c r="P622" s="98"/>
    </row>
    <row r="623">
      <c r="G623" s="156"/>
      <c r="K623" s="98"/>
      <c r="P623" s="98"/>
    </row>
    <row r="624">
      <c r="G624" s="156"/>
      <c r="K624" s="98"/>
      <c r="P624" s="98"/>
    </row>
    <row r="625">
      <c r="G625" s="156"/>
      <c r="K625" s="98"/>
      <c r="P625" s="98"/>
    </row>
    <row r="626">
      <c r="G626" s="156"/>
      <c r="K626" s="98"/>
      <c r="P626" s="98"/>
    </row>
    <row r="627">
      <c r="G627" s="156"/>
      <c r="K627" s="98"/>
      <c r="P627" s="98"/>
    </row>
    <row r="628">
      <c r="G628" s="156"/>
      <c r="K628" s="98"/>
      <c r="P628" s="98"/>
    </row>
    <row r="629">
      <c r="G629" s="156"/>
      <c r="K629" s="98"/>
      <c r="P629" s="98"/>
    </row>
    <row r="630">
      <c r="G630" s="156"/>
      <c r="K630" s="98"/>
      <c r="P630" s="98"/>
    </row>
    <row r="631">
      <c r="G631" s="156"/>
      <c r="K631" s="98"/>
      <c r="P631" s="98"/>
    </row>
    <row r="632">
      <c r="G632" s="156"/>
      <c r="K632" s="98"/>
      <c r="P632" s="98"/>
    </row>
    <row r="633">
      <c r="G633" s="156"/>
      <c r="K633" s="98"/>
      <c r="P633" s="98"/>
    </row>
    <row r="634">
      <c r="G634" s="156"/>
      <c r="K634" s="98"/>
      <c r="P634" s="98"/>
    </row>
    <row r="635">
      <c r="G635" s="156"/>
      <c r="K635" s="98"/>
      <c r="P635" s="98"/>
    </row>
    <row r="636">
      <c r="G636" s="156"/>
      <c r="K636" s="98"/>
      <c r="P636" s="98"/>
    </row>
    <row r="637">
      <c r="G637" s="156"/>
      <c r="K637" s="98"/>
      <c r="P637" s="98"/>
    </row>
    <row r="638">
      <c r="G638" s="156"/>
      <c r="K638" s="98"/>
      <c r="P638" s="98"/>
    </row>
    <row r="639">
      <c r="G639" s="156"/>
      <c r="K639" s="98"/>
      <c r="P639" s="98"/>
    </row>
    <row r="640">
      <c r="G640" s="156"/>
      <c r="K640" s="98"/>
      <c r="P640" s="98"/>
    </row>
    <row r="641">
      <c r="G641" s="156"/>
      <c r="K641" s="98"/>
      <c r="P641" s="98"/>
    </row>
    <row r="642">
      <c r="G642" s="156"/>
      <c r="K642" s="98"/>
      <c r="P642" s="98"/>
    </row>
    <row r="643">
      <c r="G643" s="156"/>
      <c r="K643" s="98"/>
      <c r="P643" s="98"/>
    </row>
    <row r="644">
      <c r="G644" s="156"/>
      <c r="K644" s="98"/>
      <c r="P644" s="98"/>
    </row>
    <row r="645">
      <c r="G645" s="156"/>
      <c r="K645" s="98"/>
      <c r="P645" s="98"/>
    </row>
    <row r="646">
      <c r="G646" s="156"/>
      <c r="K646" s="98"/>
      <c r="P646" s="98"/>
    </row>
    <row r="647">
      <c r="G647" s="156"/>
      <c r="K647" s="98"/>
      <c r="P647" s="98"/>
    </row>
    <row r="648">
      <c r="G648" s="156"/>
      <c r="K648" s="98"/>
      <c r="P648" s="98"/>
    </row>
    <row r="649">
      <c r="G649" s="156"/>
      <c r="K649" s="98"/>
      <c r="P649" s="98"/>
    </row>
    <row r="650">
      <c r="G650" s="156"/>
      <c r="K650" s="98"/>
      <c r="P650" s="98"/>
    </row>
    <row r="651">
      <c r="G651" s="156"/>
      <c r="K651" s="98"/>
      <c r="P651" s="98"/>
    </row>
    <row r="652">
      <c r="G652" s="156"/>
      <c r="K652" s="98"/>
      <c r="P652" s="98"/>
    </row>
    <row r="653">
      <c r="G653" s="156"/>
      <c r="K653" s="98"/>
      <c r="P653" s="98"/>
    </row>
    <row r="654">
      <c r="G654" s="156"/>
      <c r="K654" s="98"/>
      <c r="P654" s="98"/>
    </row>
    <row r="655">
      <c r="G655" s="156"/>
      <c r="K655" s="98"/>
      <c r="P655" s="98"/>
    </row>
    <row r="656">
      <c r="G656" s="156"/>
      <c r="K656" s="98"/>
      <c r="P656" s="98"/>
    </row>
    <row r="657">
      <c r="G657" s="156"/>
      <c r="K657" s="98"/>
      <c r="P657" s="98"/>
    </row>
    <row r="658">
      <c r="G658" s="156"/>
      <c r="K658" s="98"/>
      <c r="P658" s="98"/>
    </row>
    <row r="659">
      <c r="G659" s="156"/>
      <c r="K659" s="98"/>
      <c r="P659" s="98"/>
    </row>
    <row r="660">
      <c r="G660" s="156"/>
      <c r="K660" s="98"/>
      <c r="P660" s="98"/>
    </row>
    <row r="661">
      <c r="G661" s="156"/>
      <c r="K661" s="98"/>
      <c r="P661" s="98"/>
    </row>
    <row r="662">
      <c r="G662" s="156"/>
      <c r="K662" s="98"/>
      <c r="P662" s="98"/>
    </row>
    <row r="663">
      <c r="G663" s="156"/>
      <c r="K663" s="98"/>
      <c r="P663" s="98"/>
    </row>
    <row r="664">
      <c r="G664" s="156"/>
      <c r="K664" s="98"/>
      <c r="P664" s="98"/>
    </row>
    <row r="665">
      <c r="G665" s="156"/>
      <c r="K665" s="98"/>
      <c r="P665" s="98"/>
    </row>
    <row r="666">
      <c r="G666" s="156"/>
      <c r="K666" s="98"/>
      <c r="P666" s="98"/>
    </row>
    <row r="667">
      <c r="G667" s="156"/>
      <c r="K667" s="98"/>
      <c r="P667" s="98"/>
    </row>
    <row r="668">
      <c r="G668" s="156"/>
      <c r="K668" s="98"/>
      <c r="P668" s="98"/>
    </row>
    <row r="669">
      <c r="G669" s="156"/>
      <c r="K669" s="98"/>
      <c r="P669" s="98"/>
    </row>
    <row r="670">
      <c r="G670" s="156"/>
      <c r="K670" s="98"/>
      <c r="P670" s="98"/>
    </row>
    <row r="671">
      <c r="G671" s="156"/>
      <c r="K671" s="98"/>
      <c r="P671" s="98"/>
    </row>
    <row r="672">
      <c r="G672" s="156"/>
      <c r="K672" s="98"/>
      <c r="P672" s="98"/>
    </row>
    <row r="673">
      <c r="G673" s="156"/>
      <c r="K673" s="98"/>
      <c r="P673" s="98"/>
    </row>
    <row r="674">
      <c r="G674" s="156"/>
      <c r="K674" s="98"/>
      <c r="P674" s="98"/>
    </row>
    <row r="675">
      <c r="G675" s="156"/>
      <c r="K675" s="98"/>
      <c r="P675" s="98"/>
    </row>
    <row r="676">
      <c r="G676" s="156"/>
      <c r="K676" s="98"/>
      <c r="P676" s="98"/>
    </row>
    <row r="677">
      <c r="G677" s="156"/>
      <c r="K677" s="98"/>
      <c r="P677" s="98"/>
    </row>
    <row r="678">
      <c r="G678" s="156"/>
      <c r="K678" s="98"/>
      <c r="P678" s="98"/>
    </row>
    <row r="679">
      <c r="G679" s="156"/>
      <c r="K679" s="98"/>
      <c r="P679" s="98"/>
    </row>
    <row r="680">
      <c r="G680" s="156"/>
      <c r="K680" s="98"/>
      <c r="P680" s="98"/>
    </row>
    <row r="681">
      <c r="G681" s="156"/>
      <c r="K681" s="98"/>
      <c r="P681" s="98"/>
    </row>
    <row r="682">
      <c r="G682" s="156"/>
      <c r="K682" s="98"/>
      <c r="P682" s="98"/>
    </row>
    <row r="683">
      <c r="G683" s="156"/>
      <c r="K683" s="98"/>
      <c r="P683" s="98"/>
    </row>
    <row r="684">
      <c r="G684" s="156"/>
      <c r="K684" s="98"/>
      <c r="P684" s="98"/>
    </row>
    <row r="685">
      <c r="G685" s="156"/>
      <c r="K685" s="98"/>
      <c r="P685" s="98"/>
    </row>
    <row r="686">
      <c r="G686" s="156"/>
      <c r="K686" s="98"/>
      <c r="P686" s="98"/>
    </row>
    <row r="687">
      <c r="G687" s="156"/>
      <c r="K687" s="98"/>
      <c r="P687" s="98"/>
    </row>
    <row r="688">
      <c r="G688" s="156"/>
      <c r="K688" s="98"/>
      <c r="P688" s="98"/>
    </row>
    <row r="689">
      <c r="G689" s="156"/>
      <c r="K689" s="98"/>
      <c r="P689" s="98"/>
    </row>
    <row r="690">
      <c r="G690" s="156"/>
      <c r="K690" s="98"/>
      <c r="P690" s="98"/>
    </row>
    <row r="691">
      <c r="G691" s="156"/>
      <c r="K691" s="98"/>
      <c r="P691" s="98"/>
    </row>
    <row r="692">
      <c r="G692" s="156"/>
      <c r="K692" s="98"/>
      <c r="P692" s="98"/>
    </row>
    <row r="693">
      <c r="G693" s="156"/>
      <c r="K693" s="98"/>
      <c r="P693" s="98"/>
    </row>
    <row r="694">
      <c r="G694" s="156"/>
      <c r="K694" s="98"/>
      <c r="P694" s="98"/>
    </row>
    <row r="695">
      <c r="G695" s="156"/>
      <c r="K695" s="98"/>
      <c r="P695" s="98"/>
    </row>
    <row r="696">
      <c r="G696" s="156"/>
      <c r="K696" s="98"/>
      <c r="P696" s="98"/>
    </row>
    <row r="697">
      <c r="G697" s="156"/>
      <c r="K697" s="98"/>
      <c r="P697" s="98"/>
    </row>
    <row r="698">
      <c r="G698" s="156"/>
      <c r="K698" s="98"/>
      <c r="P698" s="98"/>
    </row>
    <row r="699">
      <c r="G699" s="156"/>
      <c r="K699" s="98"/>
      <c r="P699" s="98"/>
    </row>
    <row r="700">
      <c r="G700" s="156"/>
      <c r="K700" s="98"/>
      <c r="P700" s="98"/>
    </row>
    <row r="701">
      <c r="G701" s="156"/>
      <c r="K701" s="98"/>
      <c r="P701" s="98"/>
    </row>
    <row r="702">
      <c r="G702" s="156"/>
      <c r="K702" s="98"/>
      <c r="P702" s="98"/>
    </row>
    <row r="703">
      <c r="G703" s="156"/>
      <c r="K703" s="98"/>
      <c r="P703" s="98"/>
    </row>
    <row r="704">
      <c r="G704" s="156"/>
      <c r="K704" s="98"/>
      <c r="P704" s="98"/>
    </row>
    <row r="705">
      <c r="G705" s="156"/>
      <c r="K705" s="98"/>
      <c r="P705" s="98"/>
    </row>
    <row r="706">
      <c r="G706" s="156"/>
      <c r="K706" s="98"/>
      <c r="P706" s="98"/>
    </row>
    <row r="707">
      <c r="G707" s="156"/>
      <c r="K707" s="98"/>
      <c r="P707" s="98"/>
    </row>
    <row r="708">
      <c r="G708" s="156"/>
      <c r="K708" s="98"/>
      <c r="P708" s="98"/>
    </row>
    <row r="709">
      <c r="G709" s="156"/>
      <c r="K709" s="98"/>
      <c r="P709" s="98"/>
    </row>
    <row r="710">
      <c r="G710" s="156"/>
      <c r="K710" s="98"/>
      <c r="P710" s="98"/>
    </row>
    <row r="711">
      <c r="G711" s="156"/>
      <c r="K711" s="98"/>
      <c r="P711" s="98"/>
    </row>
    <row r="712">
      <c r="G712" s="156"/>
      <c r="K712" s="98"/>
      <c r="P712" s="98"/>
    </row>
    <row r="713">
      <c r="G713" s="156"/>
      <c r="K713" s="98"/>
      <c r="P713" s="98"/>
    </row>
    <row r="714">
      <c r="G714" s="156"/>
      <c r="K714" s="98"/>
      <c r="P714" s="98"/>
    </row>
    <row r="715">
      <c r="G715" s="156"/>
      <c r="K715" s="98"/>
      <c r="P715" s="98"/>
    </row>
    <row r="716">
      <c r="G716" s="156"/>
      <c r="K716" s="98"/>
      <c r="P716" s="98"/>
    </row>
    <row r="717">
      <c r="G717" s="156"/>
      <c r="K717" s="98"/>
      <c r="P717" s="98"/>
    </row>
    <row r="718">
      <c r="G718" s="156"/>
      <c r="K718" s="98"/>
      <c r="P718" s="98"/>
    </row>
    <row r="719">
      <c r="G719" s="156"/>
      <c r="K719" s="98"/>
      <c r="P719" s="98"/>
    </row>
    <row r="720">
      <c r="G720" s="156"/>
      <c r="K720" s="98"/>
      <c r="P720" s="98"/>
    </row>
    <row r="721">
      <c r="G721" s="156"/>
      <c r="K721" s="98"/>
      <c r="P721" s="98"/>
    </row>
    <row r="722">
      <c r="G722" s="156"/>
      <c r="K722" s="98"/>
      <c r="P722" s="98"/>
    </row>
    <row r="723">
      <c r="G723" s="156"/>
      <c r="K723" s="98"/>
      <c r="P723" s="98"/>
    </row>
    <row r="724">
      <c r="G724" s="156"/>
      <c r="K724" s="98"/>
      <c r="P724" s="98"/>
    </row>
    <row r="725">
      <c r="G725" s="156"/>
      <c r="K725" s="98"/>
      <c r="P725" s="98"/>
    </row>
    <row r="726">
      <c r="G726" s="156"/>
      <c r="K726" s="98"/>
      <c r="P726" s="98"/>
    </row>
    <row r="727">
      <c r="G727" s="156"/>
      <c r="K727" s="98"/>
      <c r="P727" s="98"/>
    </row>
    <row r="728">
      <c r="G728" s="156"/>
      <c r="K728" s="98"/>
      <c r="P728" s="98"/>
    </row>
    <row r="729">
      <c r="G729" s="156"/>
      <c r="K729" s="98"/>
      <c r="P729" s="98"/>
    </row>
    <row r="730">
      <c r="G730" s="156"/>
      <c r="K730" s="98"/>
      <c r="P730" s="98"/>
    </row>
    <row r="731">
      <c r="G731" s="156"/>
      <c r="K731" s="98"/>
      <c r="P731" s="98"/>
    </row>
    <row r="732">
      <c r="G732" s="156"/>
      <c r="K732" s="98"/>
      <c r="P732" s="98"/>
    </row>
    <row r="733">
      <c r="G733" s="156"/>
      <c r="K733" s="98"/>
      <c r="P733" s="98"/>
    </row>
    <row r="734">
      <c r="G734" s="156"/>
      <c r="K734" s="98"/>
      <c r="P734" s="98"/>
    </row>
    <row r="735">
      <c r="G735" s="156"/>
      <c r="K735" s="98"/>
      <c r="P735" s="98"/>
    </row>
    <row r="736">
      <c r="G736" s="156"/>
      <c r="K736" s="98"/>
      <c r="P736" s="98"/>
    </row>
    <row r="737">
      <c r="G737" s="156"/>
      <c r="K737" s="98"/>
      <c r="P737" s="98"/>
    </row>
    <row r="738">
      <c r="G738" s="156"/>
      <c r="K738" s="98"/>
      <c r="P738" s="98"/>
    </row>
    <row r="739">
      <c r="G739" s="156"/>
      <c r="K739" s="98"/>
      <c r="P739" s="98"/>
    </row>
    <row r="740">
      <c r="G740" s="156"/>
      <c r="K740" s="98"/>
      <c r="P740" s="98"/>
    </row>
    <row r="741">
      <c r="G741" s="156"/>
      <c r="K741" s="98"/>
      <c r="P741" s="98"/>
    </row>
    <row r="742">
      <c r="G742" s="156"/>
      <c r="K742" s="98"/>
      <c r="P742" s="98"/>
    </row>
    <row r="743">
      <c r="G743" s="156"/>
      <c r="K743" s="98"/>
      <c r="P743" s="98"/>
    </row>
    <row r="744">
      <c r="G744" s="156"/>
      <c r="K744" s="98"/>
      <c r="P744" s="98"/>
    </row>
    <row r="745">
      <c r="G745" s="156"/>
      <c r="K745" s="98"/>
      <c r="P745" s="98"/>
    </row>
    <row r="746">
      <c r="G746" s="156"/>
      <c r="K746" s="98"/>
      <c r="P746" s="98"/>
    </row>
    <row r="747">
      <c r="G747" s="156"/>
      <c r="K747" s="98"/>
      <c r="P747" s="98"/>
    </row>
    <row r="748">
      <c r="G748" s="156"/>
      <c r="K748" s="98"/>
      <c r="P748" s="98"/>
    </row>
    <row r="749">
      <c r="G749" s="156"/>
      <c r="K749" s="98"/>
      <c r="P749" s="98"/>
    </row>
    <row r="750">
      <c r="G750" s="156"/>
      <c r="K750" s="98"/>
      <c r="P750" s="98"/>
    </row>
    <row r="751">
      <c r="G751" s="156"/>
      <c r="K751" s="98"/>
      <c r="P751" s="98"/>
    </row>
    <row r="752">
      <c r="G752" s="156"/>
      <c r="K752" s="98"/>
      <c r="P752" s="98"/>
    </row>
    <row r="753">
      <c r="G753" s="156"/>
      <c r="K753" s="98"/>
      <c r="P753" s="98"/>
    </row>
    <row r="754">
      <c r="G754" s="156"/>
      <c r="K754" s="98"/>
      <c r="P754" s="98"/>
    </row>
    <row r="755">
      <c r="G755" s="156"/>
      <c r="K755" s="98"/>
      <c r="P755" s="98"/>
    </row>
    <row r="756">
      <c r="G756" s="156"/>
      <c r="K756" s="98"/>
      <c r="P756" s="98"/>
    </row>
    <row r="757">
      <c r="G757" s="156"/>
      <c r="K757" s="98"/>
      <c r="P757" s="98"/>
    </row>
    <row r="758">
      <c r="G758" s="156"/>
      <c r="K758" s="98"/>
      <c r="P758" s="98"/>
    </row>
    <row r="759">
      <c r="G759" s="156"/>
      <c r="K759" s="98"/>
      <c r="P759" s="98"/>
    </row>
    <row r="760">
      <c r="G760" s="156"/>
      <c r="K760" s="98"/>
      <c r="P760" s="98"/>
    </row>
    <row r="761">
      <c r="G761" s="156"/>
      <c r="K761" s="98"/>
      <c r="P761" s="98"/>
    </row>
    <row r="762">
      <c r="G762" s="156"/>
      <c r="K762" s="98"/>
      <c r="P762" s="98"/>
    </row>
    <row r="763">
      <c r="G763" s="156"/>
      <c r="K763" s="98"/>
      <c r="P763" s="98"/>
    </row>
    <row r="764">
      <c r="G764" s="156"/>
      <c r="K764" s="98"/>
      <c r="P764" s="98"/>
    </row>
    <row r="765">
      <c r="G765" s="156"/>
      <c r="K765" s="98"/>
      <c r="P765" s="98"/>
    </row>
    <row r="766">
      <c r="G766" s="156"/>
      <c r="K766" s="98"/>
      <c r="P766" s="98"/>
    </row>
    <row r="767">
      <c r="G767" s="156"/>
      <c r="K767" s="98"/>
      <c r="P767" s="98"/>
    </row>
    <row r="768">
      <c r="G768" s="156"/>
      <c r="K768" s="98"/>
      <c r="P768" s="98"/>
    </row>
    <row r="769">
      <c r="G769" s="156"/>
      <c r="K769" s="98"/>
      <c r="P769" s="98"/>
    </row>
    <row r="770">
      <c r="G770" s="156"/>
      <c r="K770" s="98"/>
      <c r="P770" s="98"/>
    </row>
    <row r="771">
      <c r="G771" s="156"/>
      <c r="K771" s="98"/>
      <c r="P771" s="98"/>
    </row>
    <row r="772">
      <c r="G772" s="156"/>
      <c r="K772" s="98"/>
      <c r="P772" s="98"/>
    </row>
    <row r="773">
      <c r="G773" s="156"/>
      <c r="K773" s="98"/>
      <c r="P773" s="98"/>
    </row>
    <row r="774">
      <c r="G774" s="156"/>
      <c r="K774" s="98"/>
      <c r="P774" s="98"/>
    </row>
    <row r="775">
      <c r="G775" s="156"/>
      <c r="K775" s="98"/>
      <c r="P775" s="98"/>
    </row>
    <row r="776">
      <c r="G776" s="156"/>
      <c r="K776" s="98"/>
      <c r="P776" s="98"/>
    </row>
    <row r="777">
      <c r="G777" s="156"/>
      <c r="K777" s="98"/>
      <c r="P777" s="98"/>
    </row>
    <row r="778">
      <c r="G778" s="156"/>
      <c r="K778" s="98"/>
      <c r="P778" s="98"/>
    </row>
    <row r="779">
      <c r="G779" s="156"/>
      <c r="K779" s="98"/>
      <c r="P779" s="98"/>
    </row>
    <row r="780">
      <c r="G780" s="156"/>
      <c r="K780" s="98"/>
      <c r="P780" s="98"/>
    </row>
    <row r="781">
      <c r="G781" s="156"/>
      <c r="K781" s="98"/>
      <c r="P781" s="98"/>
    </row>
    <row r="782">
      <c r="G782" s="156"/>
      <c r="K782" s="98"/>
      <c r="P782" s="98"/>
    </row>
    <row r="783">
      <c r="G783" s="156"/>
      <c r="K783" s="98"/>
      <c r="P783" s="98"/>
    </row>
    <row r="784">
      <c r="G784" s="156"/>
      <c r="K784" s="98"/>
      <c r="P784" s="98"/>
    </row>
    <row r="785">
      <c r="G785" s="156"/>
      <c r="K785" s="98"/>
      <c r="P785" s="98"/>
    </row>
    <row r="786">
      <c r="G786" s="156"/>
      <c r="K786" s="98"/>
      <c r="P786" s="98"/>
    </row>
    <row r="787">
      <c r="G787" s="156"/>
      <c r="K787" s="98"/>
      <c r="P787" s="98"/>
    </row>
    <row r="788">
      <c r="G788" s="156"/>
      <c r="K788" s="98"/>
      <c r="P788" s="98"/>
    </row>
    <row r="789">
      <c r="G789" s="156"/>
      <c r="K789" s="98"/>
      <c r="P789" s="98"/>
    </row>
    <row r="790">
      <c r="G790" s="156"/>
      <c r="K790" s="98"/>
      <c r="P790" s="98"/>
    </row>
    <row r="791">
      <c r="G791" s="156"/>
      <c r="K791" s="98"/>
      <c r="P791" s="98"/>
    </row>
    <row r="792">
      <c r="G792" s="156"/>
      <c r="K792" s="98"/>
      <c r="P792" s="98"/>
    </row>
    <row r="793">
      <c r="G793" s="156"/>
      <c r="K793" s="98"/>
      <c r="P793" s="98"/>
    </row>
    <row r="794">
      <c r="G794" s="156"/>
      <c r="K794" s="98"/>
      <c r="P794" s="98"/>
    </row>
    <row r="795">
      <c r="G795" s="156"/>
      <c r="K795" s="98"/>
      <c r="P795" s="98"/>
    </row>
    <row r="796">
      <c r="G796" s="156"/>
      <c r="K796" s="98"/>
      <c r="P796" s="98"/>
    </row>
    <row r="797">
      <c r="G797" s="156"/>
      <c r="K797" s="98"/>
      <c r="P797" s="98"/>
    </row>
    <row r="798">
      <c r="G798" s="156"/>
      <c r="K798" s="98"/>
      <c r="P798" s="98"/>
    </row>
    <row r="799">
      <c r="G799" s="156"/>
      <c r="K799" s="98"/>
      <c r="P799" s="98"/>
    </row>
    <row r="800">
      <c r="G800" s="156"/>
      <c r="K800" s="98"/>
      <c r="P800" s="98"/>
    </row>
    <row r="801">
      <c r="G801" s="156"/>
      <c r="K801" s="98"/>
      <c r="P801" s="98"/>
    </row>
    <row r="802">
      <c r="G802" s="156"/>
      <c r="K802" s="98"/>
      <c r="P802" s="98"/>
    </row>
    <row r="803">
      <c r="G803" s="156"/>
      <c r="K803" s="98"/>
      <c r="P803" s="98"/>
    </row>
    <row r="804">
      <c r="G804" s="156"/>
      <c r="K804" s="98"/>
      <c r="P804" s="98"/>
    </row>
    <row r="805">
      <c r="G805" s="156"/>
      <c r="K805" s="98"/>
      <c r="P805" s="98"/>
    </row>
    <row r="806">
      <c r="G806" s="156"/>
      <c r="K806" s="98"/>
      <c r="P806" s="98"/>
    </row>
    <row r="807">
      <c r="G807" s="156"/>
      <c r="K807" s="98"/>
      <c r="P807" s="98"/>
    </row>
    <row r="808">
      <c r="G808" s="156"/>
      <c r="K808" s="98"/>
      <c r="P808" s="98"/>
    </row>
    <row r="809">
      <c r="G809" s="156"/>
      <c r="K809" s="98"/>
      <c r="P809" s="98"/>
    </row>
    <row r="810">
      <c r="G810" s="156"/>
      <c r="K810" s="98"/>
      <c r="P810" s="98"/>
    </row>
    <row r="811">
      <c r="G811" s="156"/>
      <c r="K811" s="98"/>
      <c r="P811" s="98"/>
    </row>
    <row r="812">
      <c r="G812" s="156"/>
      <c r="K812" s="98"/>
      <c r="P812" s="98"/>
    </row>
    <row r="813">
      <c r="G813" s="156"/>
      <c r="K813" s="98"/>
      <c r="P813" s="98"/>
    </row>
    <row r="814">
      <c r="G814" s="156"/>
      <c r="K814" s="98"/>
      <c r="P814" s="98"/>
    </row>
    <row r="815">
      <c r="G815" s="156"/>
      <c r="K815" s="98"/>
      <c r="P815" s="98"/>
    </row>
    <row r="816">
      <c r="G816" s="156"/>
      <c r="K816" s="98"/>
      <c r="P816" s="98"/>
    </row>
    <row r="817">
      <c r="G817" s="156"/>
      <c r="K817" s="98"/>
      <c r="P817" s="98"/>
    </row>
    <row r="818">
      <c r="G818" s="156"/>
      <c r="K818" s="98"/>
      <c r="P818" s="98"/>
    </row>
    <row r="819">
      <c r="G819" s="156"/>
      <c r="K819" s="98"/>
      <c r="P819" s="98"/>
    </row>
    <row r="820">
      <c r="G820" s="156"/>
      <c r="K820" s="98"/>
      <c r="P820" s="98"/>
    </row>
    <row r="821">
      <c r="G821" s="156"/>
      <c r="K821" s="98"/>
      <c r="P821" s="98"/>
    </row>
    <row r="822">
      <c r="G822" s="156"/>
      <c r="K822" s="98"/>
      <c r="P822" s="98"/>
    </row>
    <row r="823">
      <c r="G823" s="156"/>
      <c r="K823" s="98"/>
      <c r="P823" s="98"/>
    </row>
    <row r="824">
      <c r="G824" s="156"/>
      <c r="K824" s="98"/>
      <c r="P824" s="98"/>
    </row>
    <row r="825">
      <c r="G825" s="156"/>
      <c r="K825" s="98"/>
      <c r="P825" s="98"/>
    </row>
    <row r="826">
      <c r="G826" s="156"/>
      <c r="K826" s="98"/>
      <c r="P826" s="98"/>
    </row>
    <row r="827">
      <c r="G827" s="156"/>
      <c r="K827" s="98"/>
      <c r="P827" s="98"/>
    </row>
    <row r="828">
      <c r="G828" s="156"/>
      <c r="K828" s="98"/>
      <c r="P828" s="98"/>
    </row>
    <row r="829">
      <c r="G829" s="156"/>
      <c r="K829" s="98"/>
      <c r="P829" s="98"/>
    </row>
    <row r="830">
      <c r="G830" s="156"/>
      <c r="K830" s="98"/>
      <c r="P830" s="98"/>
    </row>
    <row r="831">
      <c r="G831" s="156"/>
      <c r="K831" s="98"/>
      <c r="P831" s="98"/>
    </row>
    <row r="832">
      <c r="G832" s="156"/>
      <c r="K832" s="98"/>
      <c r="P832" s="98"/>
    </row>
    <row r="833">
      <c r="G833" s="156"/>
      <c r="K833" s="98"/>
      <c r="P833" s="98"/>
    </row>
    <row r="834">
      <c r="G834" s="156"/>
      <c r="K834" s="98"/>
      <c r="P834" s="98"/>
    </row>
    <row r="835">
      <c r="G835" s="156"/>
      <c r="K835" s="98"/>
      <c r="P835" s="98"/>
    </row>
    <row r="836">
      <c r="G836" s="156"/>
      <c r="K836" s="98"/>
      <c r="P836" s="98"/>
    </row>
    <row r="837">
      <c r="G837" s="156"/>
      <c r="K837" s="98"/>
      <c r="P837" s="98"/>
    </row>
    <row r="838">
      <c r="G838" s="156"/>
      <c r="K838" s="98"/>
      <c r="P838" s="98"/>
    </row>
    <row r="839">
      <c r="G839" s="156"/>
      <c r="K839" s="98"/>
      <c r="P839" s="98"/>
    </row>
    <row r="840">
      <c r="G840" s="156"/>
      <c r="K840" s="98"/>
      <c r="P840" s="98"/>
    </row>
    <row r="841">
      <c r="G841" s="156"/>
      <c r="K841" s="98"/>
      <c r="P841" s="98"/>
    </row>
    <row r="842">
      <c r="G842" s="156"/>
      <c r="K842" s="98"/>
      <c r="P842" s="98"/>
    </row>
    <row r="843">
      <c r="G843" s="156"/>
      <c r="K843" s="98"/>
      <c r="P843" s="98"/>
    </row>
    <row r="844">
      <c r="G844" s="156"/>
      <c r="K844" s="98"/>
      <c r="P844" s="98"/>
    </row>
    <row r="845">
      <c r="G845" s="156"/>
      <c r="K845" s="98"/>
      <c r="P845" s="98"/>
    </row>
    <row r="846">
      <c r="G846" s="156"/>
      <c r="K846" s="98"/>
      <c r="P846" s="98"/>
    </row>
    <row r="847">
      <c r="G847" s="156"/>
      <c r="K847" s="98"/>
      <c r="P847" s="98"/>
    </row>
    <row r="848">
      <c r="G848" s="156"/>
      <c r="K848" s="98"/>
      <c r="P848" s="98"/>
    </row>
    <row r="849">
      <c r="G849" s="156"/>
      <c r="K849" s="98"/>
      <c r="P849" s="98"/>
    </row>
    <row r="850">
      <c r="G850" s="156"/>
      <c r="K850" s="98"/>
      <c r="P850" s="98"/>
    </row>
    <row r="851">
      <c r="G851" s="156"/>
      <c r="K851" s="98"/>
      <c r="P851" s="98"/>
    </row>
    <row r="852">
      <c r="G852" s="156"/>
      <c r="K852" s="98"/>
      <c r="P852" s="98"/>
    </row>
    <row r="853">
      <c r="G853" s="156"/>
      <c r="K853" s="98"/>
      <c r="P853" s="98"/>
    </row>
    <row r="854">
      <c r="G854" s="156"/>
      <c r="K854" s="98"/>
      <c r="P854" s="98"/>
    </row>
    <row r="855">
      <c r="G855" s="156"/>
      <c r="K855" s="98"/>
      <c r="P855" s="98"/>
    </row>
    <row r="856">
      <c r="G856" s="156"/>
      <c r="K856" s="98"/>
      <c r="P856" s="98"/>
    </row>
    <row r="857">
      <c r="G857" s="156"/>
      <c r="K857" s="98"/>
      <c r="P857" s="98"/>
    </row>
    <row r="858">
      <c r="G858" s="156"/>
      <c r="K858" s="98"/>
      <c r="P858" s="98"/>
    </row>
    <row r="859">
      <c r="G859" s="156"/>
      <c r="K859" s="98"/>
      <c r="P859" s="98"/>
    </row>
    <row r="860">
      <c r="G860" s="156"/>
      <c r="K860" s="98"/>
      <c r="P860" s="98"/>
    </row>
    <row r="861">
      <c r="G861" s="156"/>
      <c r="K861" s="98"/>
      <c r="P861" s="98"/>
    </row>
    <row r="862">
      <c r="G862" s="156"/>
      <c r="K862" s="98"/>
      <c r="P862" s="98"/>
    </row>
    <row r="863">
      <c r="G863" s="156"/>
      <c r="K863" s="98"/>
      <c r="P863" s="98"/>
    </row>
    <row r="864">
      <c r="G864" s="156"/>
      <c r="K864" s="98"/>
      <c r="P864" s="98"/>
    </row>
    <row r="865">
      <c r="G865" s="156"/>
      <c r="K865" s="98"/>
      <c r="P865" s="98"/>
    </row>
    <row r="866">
      <c r="G866" s="156"/>
      <c r="K866" s="98"/>
      <c r="P866" s="98"/>
    </row>
    <row r="867">
      <c r="G867" s="156"/>
      <c r="K867" s="98"/>
      <c r="P867" s="98"/>
    </row>
    <row r="868">
      <c r="G868" s="156"/>
      <c r="K868" s="98"/>
      <c r="P868" s="98"/>
    </row>
    <row r="869">
      <c r="G869" s="156"/>
      <c r="K869" s="98"/>
      <c r="P869" s="98"/>
    </row>
    <row r="870">
      <c r="G870" s="156"/>
      <c r="K870" s="98"/>
      <c r="P870" s="98"/>
    </row>
    <row r="871">
      <c r="G871" s="156"/>
      <c r="K871" s="98"/>
      <c r="P871" s="98"/>
    </row>
    <row r="872">
      <c r="G872" s="156"/>
      <c r="K872" s="98"/>
      <c r="P872" s="98"/>
    </row>
    <row r="873">
      <c r="G873" s="156"/>
      <c r="K873" s="98"/>
      <c r="P873" s="98"/>
    </row>
    <row r="874">
      <c r="G874" s="156"/>
      <c r="K874" s="98"/>
      <c r="P874" s="98"/>
    </row>
    <row r="875">
      <c r="G875" s="156"/>
      <c r="K875" s="98"/>
      <c r="P875" s="98"/>
    </row>
    <row r="876">
      <c r="G876" s="156"/>
      <c r="K876" s="98"/>
      <c r="P876" s="98"/>
    </row>
    <row r="877">
      <c r="G877" s="156"/>
      <c r="K877" s="98"/>
      <c r="P877" s="98"/>
    </row>
    <row r="878">
      <c r="G878" s="156"/>
      <c r="K878" s="98"/>
      <c r="P878" s="98"/>
    </row>
    <row r="879">
      <c r="G879" s="156"/>
      <c r="K879" s="98"/>
      <c r="P879" s="98"/>
    </row>
    <row r="880">
      <c r="G880" s="156"/>
      <c r="K880" s="98"/>
      <c r="P880" s="98"/>
    </row>
    <row r="881">
      <c r="G881" s="156"/>
      <c r="K881" s="98"/>
      <c r="P881" s="98"/>
    </row>
    <row r="882">
      <c r="G882" s="156"/>
      <c r="K882" s="98"/>
      <c r="P882" s="98"/>
    </row>
    <row r="883">
      <c r="G883" s="156"/>
      <c r="K883" s="98"/>
      <c r="P883" s="98"/>
    </row>
    <row r="884">
      <c r="G884" s="156"/>
      <c r="K884" s="98"/>
      <c r="P884" s="98"/>
    </row>
    <row r="885">
      <c r="G885" s="156"/>
      <c r="K885" s="98"/>
      <c r="P885" s="98"/>
    </row>
    <row r="886">
      <c r="G886" s="156"/>
      <c r="K886" s="98"/>
      <c r="P886" s="98"/>
    </row>
    <row r="887">
      <c r="G887" s="156"/>
      <c r="K887" s="98"/>
      <c r="P887" s="98"/>
    </row>
    <row r="888">
      <c r="G888" s="156"/>
      <c r="K888" s="98"/>
      <c r="P888" s="98"/>
    </row>
    <row r="889">
      <c r="G889" s="156"/>
      <c r="K889" s="98"/>
      <c r="P889" s="98"/>
    </row>
    <row r="890">
      <c r="G890" s="156"/>
      <c r="K890" s="98"/>
      <c r="P890" s="98"/>
    </row>
    <row r="891">
      <c r="G891" s="156"/>
      <c r="K891" s="98"/>
      <c r="P891" s="98"/>
    </row>
    <row r="892">
      <c r="G892" s="156"/>
      <c r="K892" s="98"/>
      <c r="P892" s="98"/>
    </row>
    <row r="893">
      <c r="G893" s="156"/>
      <c r="K893" s="98"/>
      <c r="P893" s="98"/>
    </row>
    <row r="894">
      <c r="G894" s="156"/>
      <c r="K894" s="98"/>
      <c r="P894" s="98"/>
    </row>
    <row r="895">
      <c r="G895" s="156"/>
      <c r="K895" s="98"/>
      <c r="P895" s="98"/>
    </row>
    <row r="896">
      <c r="G896" s="156"/>
      <c r="K896" s="98"/>
      <c r="P896" s="98"/>
    </row>
    <row r="897">
      <c r="G897" s="156"/>
      <c r="K897" s="98"/>
      <c r="P897" s="98"/>
    </row>
    <row r="898">
      <c r="G898" s="156"/>
      <c r="K898" s="98"/>
      <c r="P898" s="98"/>
    </row>
    <row r="899">
      <c r="G899" s="156"/>
      <c r="K899" s="98"/>
      <c r="P899" s="98"/>
    </row>
    <row r="900">
      <c r="G900" s="156"/>
      <c r="K900" s="98"/>
      <c r="P900" s="98"/>
    </row>
    <row r="901">
      <c r="G901" s="156"/>
      <c r="K901" s="98"/>
      <c r="P901" s="98"/>
    </row>
    <row r="902">
      <c r="G902" s="156"/>
      <c r="K902" s="98"/>
      <c r="P902" s="98"/>
    </row>
    <row r="903">
      <c r="G903" s="156"/>
      <c r="K903" s="98"/>
      <c r="P903" s="98"/>
    </row>
    <row r="904">
      <c r="G904" s="156"/>
      <c r="K904" s="98"/>
      <c r="P904" s="98"/>
    </row>
    <row r="905">
      <c r="G905" s="156"/>
      <c r="K905" s="98"/>
      <c r="P905" s="98"/>
    </row>
    <row r="906">
      <c r="G906" s="156"/>
      <c r="K906" s="98"/>
      <c r="P906" s="98"/>
    </row>
    <row r="907">
      <c r="G907" s="156"/>
      <c r="K907" s="98"/>
      <c r="P907" s="98"/>
    </row>
    <row r="908">
      <c r="G908" s="156"/>
      <c r="K908" s="98"/>
      <c r="P908" s="98"/>
    </row>
    <row r="909">
      <c r="G909" s="156"/>
      <c r="K909" s="98"/>
      <c r="P909" s="98"/>
    </row>
    <row r="910">
      <c r="G910" s="156"/>
      <c r="K910" s="98"/>
      <c r="P910" s="98"/>
    </row>
    <row r="911">
      <c r="G911" s="156"/>
      <c r="K911" s="98"/>
      <c r="P911" s="98"/>
    </row>
    <row r="912">
      <c r="G912" s="156"/>
      <c r="K912" s="98"/>
      <c r="P912" s="98"/>
    </row>
    <row r="913">
      <c r="G913" s="156"/>
      <c r="K913" s="98"/>
      <c r="P913" s="98"/>
    </row>
    <row r="914">
      <c r="G914" s="156"/>
      <c r="K914" s="98"/>
      <c r="P914" s="98"/>
    </row>
    <row r="915">
      <c r="G915" s="156"/>
      <c r="K915" s="98"/>
      <c r="P915" s="98"/>
    </row>
    <row r="916">
      <c r="G916" s="156"/>
      <c r="K916" s="98"/>
      <c r="P916" s="98"/>
    </row>
    <row r="917">
      <c r="G917" s="156"/>
      <c r="K917" s="98"/>
      <c r="P917" s="98"/>
    </row>
    <row r="918">
      <c r="G918" s="156"/>
      <c r="K918" s="98"/>
      <c r="P918" s="98"/>
    </row>
    <row r="919">
      <c r="G919" s="156"/>
      <c r="K919" s="98"/>
      <c r="P919" s="98"/>
    </row>
    <row r="920">
      <c r="G920" s="156"/>
      <c r="K920" s="98"/>
      <c r="P920" s="98"/>
    </row>
    <row r="921">
      <c r="G921" s="156"/>
      <c r="K921" s="98"/>
      <c r="P921" s="98"/>
    </row>
    <row r="922">
      <c r="G922" s="156"/>
      <c r="K922" s="98"/>
      <c r="P922" s="98"/>
    </row>
    <row r="923">
      <c r="G923" s="156"/>
      <c r="K923" s="98"/>
      <c r="P923" s="98"/>
    </row>
    <row r="924">
      <c r="G924" s="156"/>
      <c r="K924" s="98"/>
      <c r="P924" s="98"/>
    </row>
    <row r="925">
      <c r="G925" s="156"/>
      <c r="K925" s="98"/>
      <c r="P925" s="98"/>
    </row>
    <row r="926">
      <c r="G926" s="156"/>
      <c r="K926" s="98"/>
      <c r="P926" s="98"/>
    </row>
    <row r="927">
      <c r="G927" s="156"/>
      <c r="K927" s="98"/>
      <c r="P927" s="98"/>
    </row>
    <row r="928">
      <c r="G928" s="156"/>
      <c r="K928" s="98"/>
      <c r="P928" s="98"/>
    </row>
    <row r="929">
      <c r="G929" s="156"/>
      <c r="K929" s="98"/>
      <c r="P929" s="98"/>
    </row>
    <row r="930">
      <c r="G930" s="156"/>
      <c r="K930" s="98"/>
      <c r="P930" s="98"/>
    </row>
    <row r="931">
      <c r="G931" s="156"/>
      <c r="K931" s="98"/>
      <c r="P931" s="98"/>
    </row>
    <row r="932">
      <c r="G932" s="156"/>
      <c r="K932" s="98"/>
      <c r="P932" s="98"/>
    </row>
    <row r="933">
      <c r="G933" s="156"/>
      <c r="K933" s="98"/>
      <c r="P933" s="98"/>
    </row>
    <row r="934">
      <c r="G934" s="156"/>
      <c r="K934" s="98"/>
      <c r="P934" s="98"/>
    </row>
    <row r="935">
      <c r="G935" s="156"/>
      <c r="K935" s="98"/>
      <c r="P935" s="98"/>
    </row>
    <row r="936">
      <c r="G936" s="156"/>
      <c r="K936" s="98"/>
      <c r="P936" s="98"/>
    </row>
    <row r="937">
      <c r="G937" s="156"/>
      <c r="K937" s="98"/>
      <c r="P937" s="98"/>
    </row>
    <row r="938">
      <c r="G938" s="156"/>
      <c r="K938" s="98"/>
      <c r="P938" s="98"/>
    </row>
    <row r="939">
      <c r="G939" s="156"/>
      <c r="K939" s="98"/>
      <c r="P939" s="98"/>
    </row>
    <row r="940">
      <c r="G940" s="156"/>
      <c r="K940" s="98"/>
      <c r="P940" s="98"/>
    </row>
    <row r="941">
      <c r="G941" s="156"/>
      <c r="K941" s="98"/>
      <c r="P941" s="98"/>
    </row>
    <row r="942">
      <c r="G942" s="156"/>
      <c r="K942" s="98"/>
      <c r="P942" s="98"/>
    </row>
    <row r="943">
      <c r="G943" s="156"/>
      <c r="K943" s="98"/>
      <c r="P943" s="98"/>
    </row>
    <row r="944">
      <c r="G944" s="156"/>
      <c r="K944" s="98"/>
      <c r="P944" s="98"/>
    </row>
    <row r="945">
      <c r="G945" s="156"/>
      <c r="K945" s="98"/>
      <c r="P945" s="98"/>
    </row>
    <row r="946">
      <c r="G946" s="156"/>
      <c r="K946" s="98"/>
      <c r="P946" s="98"/>
    </row>
    <row r="947">
      <c r="G947" s="156"/>
      <c r="K947" s="98"/>
      <c r="P947" s="98"/>
    </row>
    <row r="948">
      <c r="G948" s="156"/>
      <c r="K948" s="98"/>
      <c r="P948" s="98"/>
    </row>
    <row r="949">
      <c r="G949" s="156"/>
      <c r="K949" s="98"/>
      <c r="P949" s="98"/>
    </row>
    <row r="950">
      <c r="G950" s="156"/>
      <c r="K950" s="98"/>
      <c r="P950" s="98"/>
    </row>
    <row r="951">
      <c r="G951" s="156"/>
      <c r="K951" s="98"/>
      <c r="P951" s="98"/>
    </row>
    <row r="952">
      <c r="G952" s="156"/>
      <c r="K952" s="98"/>
      <c r="P952" s="98"/>
    </row>
    <row r="953">
      <c r="G953" s="156"/>
      <c r="K953" s="98"/>
      <c r="P953" s="98"/>
    </row>
    <row r="954">
      <c r="G954" s="156"/>
      <c r="K954" s="98"/>
      <c r="P954" s="98"/>
    </row>
    <row r="955">
      <c r="G955" s="156"/>
      <c r="K955" s="98"/>
      <c r="P955" s="98"/>
    </row>
    <row r="956">
      <c r="G956" s="156"/>
      <c r="K956" s="98"/>
      <c r="P956" s="98"/>
    </row>
    <row r="957">
      <c r="G957" s="156"/>
      <c r="K957" s="98"/>
      <c r="P957" s="98"/>
    </row>
    <row r="958">
      <c r="G958" s="156"/>
      <c r="K958" s="98"/>
      <c r="P958" s="98"/>
    </row>
    <row r="959">
      <c r="G959" s="156"/>
      <c r="K959" s="98"/>
      <c r="P959" s="98"/>
    </row>
    <row r="960">
      <c r="G960" s="156"/>
      <c r="K960" s="98"/>
      <c r="P960" s="98"/>
    </row>
    <row r="961">
      <c r="G961" s="156"/>
      <c r="K961" s="98"/>
      <c r="P961" s="98"/>
    </row>
    <row r="962">
      <c r="G962" s="156"/>
      <c r="K962" s="98"/>
      <c r="P962" s="98"/>
    </row>
    <row r="963">
      <c r="G963" s="156"/>
      <c r="K963" s="98"/>
      <c r="P963" s="98"/>
    </row>
    <row r="964">
      <c r="G964" s="156"/>
      <c r="K964" s="98"/>
      <c r="P964" s="98"/>
    </row>
    <row r="965">
      <c r="G965" s="156"/>
      <c r="K965" s="98"/>
      <c r="P965" s="98"/>
    </row>
    <row r="966">
      <c r="G966" s="156"/>
      <c r="K966" s="98"/>
      <c r="P966" s="98"/>
    </row>
    <row r="967">
      <c r="G967" s="156"/>
      <c r="K967" s="98"/>
      <c r="P967" s="98"/>
    </row>
    <row r="968">
      <c r="G968" s="156"/>
      <c r="K968" s="98"/>
      <c r="P968" s="98"/>
    </row>
    <row r="969">
      <c r="G969" s="156"/>
      <c r="K969" s="98"/>
      <c r="P969" s="98"/>
    </row>
    <row r="970">
      <c r="G970" s="156"/>
      <c r="K970" s="98"/>
      <c r="P970" s="98"/>
    </row>
    <row r="971">
      <c r="G971" s="156"/>
      <c r="K971" s="98"/>
      <c r="P971" s="98"/>
    </row>
    <row r="972">
      <c r="G972" s="156"/>
      <c r="K972" s="98"/>
      <c r="P972" s="98"/>
    </row>
    <row r="973">
      <c r="G973" s="156"/>
      <c r="K973" s="98"/>
      <c r="P973" s="98"/>
    </row>
    <row r="974">
      <c r="G974" s="156"/>
      <c r="K974" s="98"/>
      <c r="P974" s="98"/>
    </row>
    <row r="975">
      <c r="G975" s="156"/>
      <c r="K975" s="98"/>
      <c r="P975" s="98"/>
    </row>
    <row r="976">
      <c r="G976" s="156"/>
      <c r="K976" s="98"/>
      <c r="P976" s="98"/>
    </row>
    <row r="977">
      <c r="G977" s="156"/>
      <c r="K977" s="98"/>
      <c r="P977" s="98"/>
    </row>
    <row r="978">
      <c r="G978" s="156"/>
      <c r="K978" s="98"/>
      <c r="P978" s="98"/>
    </row>
    <row r="979">
      <c r="G979" s="156"/>
      <c r="K979" s="98"/>
      <c r="P979" s="98"/>
    </row>
    <row r="980">
      <c r="G980" s="156"/>
      <c r="K980" s="98"/>
      <c r="P980" s="98"/>
    </row>
    <row r="981">
      <c r="G981" s="156"/>
      <c r="K981" s="98"/>
      <c r="P981" s="98"/>
    </row>
    <row r="982">
      <c r="G982" s="156"/>
      <c r="K982" s="98"/>
      <c r="P982" s="98"/>
    </row>
    <row r="983">
      <c r="G983" s="156"/>
      <c r="K983" s="98"/>
      <c r="P983" s="98"/>
    </row>
    <row r="984">
      <c r="G984" s="156"/>
      <c r="K984" s="98"/>
      <c r="P984" s="98"/>
    </row>
    <row r="985">
      <c r="G985" s="156"/>
      <c r="K985" s="98"/>
      <c r="P985" s="98"/>
    </row>
    <row r="986">
      <c r="G986" s="156"/>
      <c r="K986" s="98"/>
      <c r="P986" s="98"/>
    </row>
    <row r="987">
      <c r="G987" s="156"/>
      <c r="K987" s="98"/>
      <c r="P987" s="98"/>
    </row>
    <row r="988">
      <c r="G988" s="156"/>
      <c r="K988" s="98"/>
      <c r="P988" s="98"/>
    </row>
    <row r="989">
      <c r="G989" s="156"/>
      <c r="K989" s="98"/>
      <c r="P989" s="98"/>
    </row>
    <row r="990">
      <c r="G990" s="156"/>
      <c r="K990" s="98"/>
      <c r="P990" s="98"/>
    </row>
    <row r="991">
      <c r="G991" s="156"/>
      <c r="K991" s="98"/>
      <c r="P991" s="98"/>
    </row>
    <row r="992">
      <c r="G992" s="156"/>
      <c r="K992" s="98"/>
      <c r="P992" s="98"/>
    </row>
    <row r="993">
      <c r="G993" s="156"/>
      <c r="K993" s="98"/>
      <c r="P993" s="98"/>
    </row>
    <row r="994">
      <c r="G994" s="156"/>
      <c r="K994" s="98"/>
      <c r="P994" s="98"/>
    </row>
    <row r="995">
      <c r="G995" s="156"/>
      <c r="K995" s="98"/>
      <c r="P995" s="98"/>
    </row>
    <row r="996">
      <c r="G996" s="156"/>
      <c r="K996" s="98"/>
      <c r="P996" s="98"/>
    </row>
    <row r="997">
      <c r="G997" s="156"/>
      <c r="K997" s="98"/>
      <c r="P997" s="98"/>
    </row>
    <row r="998">
      <c r="G998" s="156"/>
      <c r="K998" s="98"/>
      <c r="P998" s="98"/>
    </row>
    <row r="999">
      <c r="G999" s="156"/>
      <c r="K999" s="98"/>
      <c r="P999" s="98"/>
    </row>
  </sheetData>
  <dataValidations>
    <dataValidation type="list" allowBlank="1" showErrorMessage="1" sqref="B2:B99">
      <formula1>"20,000,Admission Cancelled,Free of Charge ,Not Paid Yet,15,000"</formula1>
    </dataValidation>
    <dataValidation type="list" allowBlank="1" showErrorMessage="1" sqref="D2:D99 J2:J99 N2:N99">
      <formula1>"Cash,Bank Transfer,N/A,Scholorship"</formula1>
    </dataValidation>
    <dataValidation type="list" allowBlank="1" showErrorMessage="1" sqref="G1:G999">
      <formula1>"Ruvinda,Hasani,Tushani,Naveeda,Mishell,Sandun"</formula1>
    </dataValidation>
    <dataValidation type="list" allowBlank="1" showErrorMessage="1" sqref="C2:C99 I2:I99 O2:O99 S2:S99">
      <formula1>"Issued,N/A"</formula1>
    </dataValidation>
    <dataValidation type="list" allowBlank="1" showErrorMessage="1" sqref="T2:T99">
      <formula1>"Cash,Bank Transfer,N/A,Scholorship"</formula1>
    </dataValidation>
    <dataValidation type="custom" allowBlank="1" showDropDown="1" sqref="E2:E99 K2:L99 P2:Q99">
      <formula1>OR(NOT(ISERROR(DATEVALUE(E2))), AND(ISNUMBER(E2), LEFT(CELL("format", E2))="D"))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13"/>
  </cols>
  <sheetData>
    <row r="1">
      <c r="A1" s="157"/>
      <c r="E1" s="1" t="s">
        <v>3</v>
      </c>
      <c r="F1" s="1" t="s">
        <v>2</v>
      </c>
      <c r="G1" s="1" t="s">
        <v>1</v>
      </c>
      <c r="H1" s="1" t="s">
        <v>224</v>
      </c>
    </row>
    <row r="2">
      <c r="A2" s="61" t="s">
        <v>390</v>
      </c>
      <c r="D2" s="2" t="s">
        <v>391</v>
      </c>
      <c r="E2" s="61">
        <v>15000.0</v>
      </c>
      <c r="F2" s="2" t="s">
        <v>12</v>
      </c>
      <c r="G2" s="60" t="s">
        <v>18</v>
      </c>
      <c r="H2" s="158">
        <v>45808.0</v>
      </c>
      <c r="I2" s="18"/>
    </row>
    <row r="3">
      <c r="A3" s="61" t="s">
        <v>390</v>
      </c>
      <c r="D3" s="2" t="s">
        <v>392</v>
      </c>
      <c r="E3" s="61">
        <v>15000.0</v>
      </c>
      <c r="F3" s="2" t="s">
        <v>12</v>
      </c>
      <c r="G3" s="60" t="s">
        <v>18</v>
      </c>
      <c r="H3" s="158">
        <v>45808.0</v>
      </c>
      <c r="I3" s="18"/>
    </row>
    <row r="4">
      <c r="A4" s="61" t="s">
        <v>390</v>
      </c>
      <c r="D4" s="2" t="s">
        <v>393</v>
      </c>
      <c r="E4" s="61">
        <v>15000.0</v>
      </c>
      <c r="F4" s="2" t="s">
        <v>12</v>
      </c>
      <c r="G4" s="60" t="s">
        <v>18</v>
      </c>
      <c r="H4" s="158">
        <v>45808.0</v>
      </c>
      <c r="I4" s="18"/>
    </row>
    <row r="5">
      <c r="A5" s="61" t="s">
        <v>390</v>
      </c>
      <c r="D5" s="2" t="s">
        <v>394</v>
      </c>
      <c r="E5" s="61">
        <v>15000.0</v>
      </c>
      <c r="F5" s="2" t="s">
        <v>12</v>
      </c>
      <c r="G5" s="60" t="s">
        <v>18</v>
      </c>
      <c r="H5" s="158">
        <v>45808.0</v>
      </c>
      <c r="I5" s="18"/>
    </row>
    <row r="6">
      <c r="A6" s="61" t="s">
        <v>390</v>
      </c>
      <c r="D6" s="2" t="s">
        <v>395</v>
      </c>
      <c r="E6" s="61">
        <v>15000.0</v>
      </c>
      <c r="F6" s="2" t="s">
        <v>10</v>
      </c>
      <c r="G6" s="60" t="s">
        <v>18</v>
      </c>
      <c r="H6" s="158">
        <v>45808.0</v>
      </c>
      <c r="I6" s="18"/>
    </row>
    <row r="7">
      <c r="A7" s="61" t="s">
        <v>390</v>
      </c>
      <c r="D7" s="159" t="s">
        <v>396</v>
      </c>
      <c r="E7" s="61">
        <v>15000.0</v>
      </c>
      <c r="F7" s="2" t="s">
        <v>10</v>
      </c>
      <c r="G7" s="60" t="s">
        <v>9</v>
      </c>
      <c r="H7" s="158">
        <v>45780.0</v>
      </c>
      <c r="I7" s="18"/>
    </row>
    <row r="8">
      <c r="A8" s="61" t="s">
        <v>390</v>
      </c>
      <c r="D8" s="2" t="s">
        <v>397</v>
      </c>
      <c r="E8" s="61">
        <v>15000.0</v>
      </c>
      <c r="F8" s="2" t="s">
        <v>12</v>
      </c>
      <c r="G8" s="60" t="s">
        <v>18</v>
      </c>
      <c r="H8" s="158">
        <v>45808.0</v>
      </c>
      <c r="I8" s="18"/>
    </row>
    <row r="9">
      <c r="A9" s="160"/>
      <c r="D9" s="159" t="s">
        <v>398</v>
      </c>
      <c r="E9" s="2"/>
      <c r="F9" s="2"/>
      <c r="G9" s="2"/>
      <c r="H9" s="161"/>
    </row>
    <row r="10">
      <c r="A10" s="61" t="s">
        <v>390</v>
      </c>
      <c r="D10" s="2" t="s">
        <v>399</v>
      </c>
      <c r="E10" s="61">
        <v>15000.0</v>
      </c>
      <c r="F10" s="2" t="s">
        <v>12</v>
      </c>
      <c r="G10" s="60" t="s">
        <v>18</v>
      </c>
      <c r="H10" s="158">
        <v>45815.0</v>
      </c>
    </row>
    <row r="11">
      <c r="A11" s="61" t="s">
        <v>390</v>
      </c>
      <c r="D11" s="159" t="s">
        <v>400</v>
      </c>
      <c r="E11" s="61">
        <v>15000.0</v>
      </c>
      <c r="F11" s="2" t="s">
        <v>10</v>
      </c>
      <c r="G11" s="60" t="s">
        <v>18</v>
      </c>
      <c r="H11" s="158">
        <v>45808.0</v>
      </c>
      <c r="I11" s="18"/>
    </row>
    <row r="12">
      <c r="A12" s="61" t="s">
        <v>390</v>
      </c>
      <c r="D12" s="2" t="s">
        <v>401</v>
      </c>
      <c r="E12" s="61">
        <v>15000.0</v>
      </c>
      <c r="F12" s="2" t="s">
        <v>12</v>
      </c>
      <c r="G12" s="60" t="s">
        <v>18</v>
      </c>
      <c r="H12" s="158">
        <v>45815.0</v>
      </c>
    </row>
    <row r="13">
      <c r="A13" s="160"/>
      <c r="D13" s="2" t="s">
        <v>402</v>
      </c>
      <c r="E13" s="2"/>
      <c r="F13" s="2"/>
      <c r="G13" s="2"/>
      <c r="H13" s="161"/>
    </row>
    <row r="14">
      <c r="A14" s="61" t="s">
        <v>390</v>
      </c>
      <c r="D14" s="159" t="s">
        <v>403</v>
      </c>
      <c r="E14" s="61">
        <v>10000.0</v>
      </c>
      <c r="F14" s="2" t="s">
        <v>12</v>
      </c>
      <c r="G14" s="60" t="s">
        <v>9</v>
      </c>
      <c r="H14" s="158">
        <v>45801.0</v>
      </c>
      <c r="I14" s="18"/>
    </row>
    <row r="15">
      <c r="A15" s="160"/>
      <c r="D15" s="2" t="s">
        <v>404</v>
      </c>
      <c r="E15" s="2"/>
      <c r="F15" s="2"/>
      <c r="G15" s="2"/>
      <c r="H15" s="161"/>
    </row>
    <row r="16">
      <c r="A16" s="61" t="s">
        <v>390</v>
      </c>
      <c r="D16" s="2" t="s">
        <v>405</v>
      </c>
      <c r="E16" s="61">
        <v>15000.0</v>
      </c>
      <c r="F16" s="2" t="s">
        <v>10</v>
      </c>
      <c r="G16" s="60" t="s">
        <v>18</v>
      </c>
      <c r="H16" s="158">
        <v>45808.0</v>
      </c>
      <c r="I16" s="18"/>
    </row>
    <row r="17">
      <c r="A17" s="61" t="s">
        <v>390</v>
      </c>
      <c r="D17" s="2" t="s">
        <v>406</v>
      </c>
      <c r="E17" s="61">
        <v>15000.0</v>
      </c>
      <c r="F17" s="2" t="s">
        <v>12</v>
      </c>
      <c r="G17" s="60" t="s">
        <v>18</v>
      </c>
      <c r="H17" s="158">
        <v>45815.0</v>
      </c>
    </row>
    <row r="18">
      <c r="A18" s="61" t="s">
        <v>390</v>
      </c>
      <c r="D18" s="2" t="s">
        <v>407</v>
      </c>
      <c r="E18" s="61">
        <v>15000.0</v>
      </c>
      <c r="F18" s="2" t="s">
        <v>10</v>
      </c>
      <c r="G18" s="60" t="s">
        <v>18</v>
      </c>
      <c r="H18" s="158">
        <v>45815.0</v>
      </c>
    </row>
    <row r="19">
      <c r="A19" s="61" t="s">
        <v>390</v>
      </c>
      <c r="D19" s="2" t="s">
        <v>408</v>
      </c>
      <c r="E19" s="61">
        <v>15000.0</v>
      </c>
      <c r="F19" s="2" t="s">
        <v>12</v>
      </c>
      <c r="G19" s="60" t="s">
        <v>18</v>
      </c>
      <c r="H19" s="158">
        <v>45815.0</v>
      </c>
    </row>
    <row r="20">
      <c r="A20" s="160"/>
      <c r="D20" s="2" t="s">
        <v>409</v>
      </c>
      <c r="E20" s="2"/>
      <c r="F20" s="2"/>
      <c r="G20" s="2"/>
      <c r="H20" s="161"/>
    </row>
    <row r="21">
      <c r="A21" s="160"/>
      <c r="D21" s="2" t="s">
        <v>410</v>
      </c>
      <c r="E21" s="2"/>
      <c r="F21" s="2"/>
      <c r="G21" s="2"/>
      <c r="H21" s="161"/>
    </row>
    <row r="22">
      <c r="A22" s="61" t="s">
        <v>390</v>
      </c>
      <c r="D22" s="2" t="s">
        <v>411</v>
      </c>
      <c r="E22" s="2"/>
      <c r="F22" s="2"/>
      <c r="G22" s="2"/>
      <c r="H22" s="161"/>
    </row>
    <row r="23">
      <c r="A23" s="61" t="s">
        <v>390</v>
      </c>
      <c r="D23" s="2" t="s">
        <v>412</v>
      </c>
      <c r="E23" s="2"/>
      <c r="F23" s="2"/>
      <c r="G23" s="2"/>
      <c r="H23" s="161"/>
    </row>
    <row r="24">
      <c r="A24" s="160"/>
      <c r="D24" s="2" t="s">
        <v>413</v>
      </c>
      <c r="E24" s="2"/>
      <c r="F24" s="2"/>
      <c r="G24" s="2"/>
      <c r="H24" s="161"/>
    </row>
    <row r="25">
      <c r="A25" s="160"/>
      <c r="D25" s="2" t="s">
        <v>414</v>
      </c>
      <c r="E25" s="2"/>
      <c r="F25" s="2"/>
      <c r="G25" s="2"/>
      <c r="H25" s="161"/>
    </row>
    <row r="26">
      <c r="A26" s="61" t="s">
        <v>390</v>
      </c>
      <c r="D26" s="2" t="s">
        <v>415</v>
      </c>
      <c r="E26" s="61">
        <v>10000.0</v>
      </c>
      <c r="F26" s="2" t="s">
        <v>12</v>
      </c>
      <c r="G26" s="60" t="s">
        <v>18</v>
      </c>
      <c r="H26" s="158">
        <v>45815.0</v>
      </c>
    </row>
    <row r="27">
      <c r="A27" s="61" t="s">
        <v>390</v>
      </c>
      <c r="D27" s="2" t="s">
        <v>416</v>
      </c>
      <c r="E27" s="2"/>
      <c r="F27" s="2"/>
      <c r="G27" s="2"/>
      <c r="H27" s="161"/>
    </row>
    <row r="28">
      <c r="A28" s="160"/>
      <c r="D28" s="2" t="s">
        <v>417</v>
      </c>
      <c r="E28" s="2"/>
      <c r="F28" s="2"/>
      <c r="G28" s="2"/>
      <c r="H28" s="161"/>
    </row>
    <row r="29">
      <c r="A29" s="61" t="s">
        <v>390</v>
      </c>
      <c r="D29" s="2" t="s">
        <v>418</v>
      </c>
      <c r="E29" s="2"/>
      <c r="F29" s="2"/>
      <c r="G29" s="2"/>
      <c r="H29" s="161"/>
    </row>
    <row r="30">
      <c r="A30" s="61" t="s">
        <v>390</v>
      </c>
      <c r="D30" s="2" t="s">
        <v>419</v>
      </c>
      <c r="E30" s="2"/>
      <c r="F30" s="2"/>
      <c r="G30" s="2"/>
      <c r="H30" s="161"/>
    </row>
    <row r="31">
      <c r="A31" s="160"/>
      <c r="D31" s="2" t="s">
        <v>420</v>
      </c>
      <c r="E31" s="2"/>
      <c r="F31" s="2"/>
      <c r="G31" s="2"/>
      <c r="H31" s="161"/>
    </row>
    <row r="32">
      <c r="A32" s="160"/>
      <c r="D32" s="2" t="s">
        <v>421</v>
      </c>
      <c r="E32" s="2"/>
      <c r="F32" s="2"/>
      <c r="G32" s="2"/>
      <c r="H32" s="161"/>
    </row>
    <row r="33">
      <c r="A33" s="61" t="s">
        <v>390</v>
      </c>
      <c r="D33" s="2" t="s">
        <v>422</v>
      </c>
      <c r="E33" s="2"/>
      <c r="F33" s="2"/>
      <c r="G33" s="2"/>
      <c r="H33" s="161"/>
    </row>
    <row r="34">
      <c r="A34" s="61" t="s">
        <v>390</v>
      </c>
      <c r="D34" s="49"/>
      <c r="E34" s="2"/>
      <c r="F34" s="2"/>
      <c r="G34" s="2"/>
      <c r="H34" s="161"/>
    </row>
    <row r="35">
      <c r="A35" s="61" t="s">
        <v>390</v>
      </c>
      <c r="E35" s="2"/>
      <c r="F35" s="2"/>
      <c r="G35" s="2"/>
      <c r="H35" s="161"/>
    </row>
    <row r="36">
      <c r="A36" s="160"/>
    </row>
    <row r="37">
      <c r="A37" s="160"/>
    </row>
    <row r="38">
      <c r="A38" s="160"/>
    </row>
    <row r="39">
      <c r="A39" s="160"/>
    </row>
    <row r="40">
      <c r="A40" s="160"/>
    </row>
    <row r="41">
      <c r="A41" s="160"/>
    </row>
    <row r="42">
      <c r="A42" s="160"/>
    </row>
    <row r="43">
      <c r="A43" s="160"/>
    </row>
    <row r="44">
      <c r="A44" s="160"/>
    </row>
    <row r="45">
      <c r="A45" s="160"/>
    </row>
    <row r="46">
      <c r="A46" s="160"/>
    </row>
    <row r="47">
      <c r="A47" s="160"/>
    </row>
    <row r="48">
      <c r="A48" s="160"/>
    </row>
    <row r="49">
      <c r="A49" s="160"/>
    </row>
  </sheetData>
  <dataValidations>
    <dataValidation type="list" allowBlank="1" showErrorMessage="1" sqref="A2:A49">
      <formula1>"Present,Absent,N/A"</formula1>
    </dataValidation>
    <dataValidation type="list" allowBlank="1" showErrorMessage="1" sqref="F2:F35">
      <formula1>"Cash,Bank Transfer,N/A"</formula1>
    </dataValidation>
    <dataValidation type="list" allowBlank="1" showErrorMessage="1" sqref="G2:G35">
      <formula1>"Issued,N/A"</formula1>
    </dataValidation>
    <dataValidation type="custom" allowBlank="1" showDropDown="1" sqref="A1 H2:H35">
      <formula1>OR(NOT(ISERROR(DATEVALUE(A1))), AND(ISNUMBER(A1), LEFT(CELL("format", A1))="D"))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